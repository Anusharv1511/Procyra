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Setup" sheetId="2" state="visible" r:id="rId4"/>
    <sheet name="Workflow - Start Here" sheetId="3" state="visible" r:id="rId5"/>
    <sheet name="Time Study" sheetId="4" state="visible" r:id="rId6"/>
    <sheet name="Learning Curv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<sst xmlns="http://schemas.openxmlformats.org/spreadsheetml/2006/main" count="154" uniqueCount="131">
  <si>
    <t xml:space="preserve">Procyra — IE Toolkit (Industrial Engineering)</t>
  </si>
  <si>
    <t xml:space="preserve">Companion workbook to the Procyra web app. Same logic, same Phase 1 modules — usable offline and shareable anywhere.</t>
  </si>
  <si>
    <t xml:space="preserve">Color legend</t>
  </si>
  <si>
    <t xml:space="preserve">Input cell — type here (yellow fill, blue bold)</t>
  </si>
  <si>
    <t xml:space="preserve">Formula cell — never overwrite (black text)</t>
  </si>
  <si>
    <t xml:space="preserve">Cross-sheet link (green text)</t>
  </si>
  <si>
    <t xml:space="preserve">How to reuse this workbook</t>
  </si>
  <si>
    <t xml:space="preserve">1. Go to Setup and pick your industry &amp; process type — labels and defaults adapt everywhere.</t>
  </si>
  <si>
    <t xml:space="preserve">2. Every sheet ships with a documented example dataset in the input cells. Study it, then replace it with your data.</t>
  </si>
  <si>
    <t xml:space="preserve">3. Only ever type in yellow cells. Black cells are formulas; green cells pull from another sheet.</t>
  </si>
  <si>
    <t xml:space="preserve">4. To extend a table, insert rows INSIDE the existing range and copy the formula row down.</t>
  </si>
  <si>
    <t xml:space="preserve">5. Compatibility: only classic functions (INDEX/MATCH, SUMIFS, SUMPRODUCT, RANK) — works in old Excel and LibreOffice.</t>
  </si>
  <si>
    <t xml:space="preserve">Sheets in this workbook</t>
  </si>
  <si>
    <t xml:space="preserve">Setup</t>
  </si>
  <si>
    <t xml:space="preserve">Industry &amp; process type — adapts terminology used across sheets.</t>
  </si>
  <si>
    <t xml:space="preserve">Workflow - Start Here</t>
  </si>
  <si>
    <t xml:space="preserve">Guided sequence for establishing a defensible standard time.</t>
  </si>
  <si>
    <t xml:space="preserve">Time Study</t>
  </si>
  <si>
    <t xml:space="preserve">Element-level observed times, performance rating, PFD allowances -&gt; normal and standard time.</t>
  </si>
  <si>
    <t xml:space="preserve">Learning Curve</t>
  </si>
  <si>
    <t xml:space="preserve">Wright-model projection of per-unit time from the standard time and a learning rate.</t>
  </si>
  <si>
    <t xml:space="preserve">What this workbook does NOT do (honest limits)</t>
  </si>
  <si>
    <t xml:space="preserve">• Performance rating is a judgment call by the observer — the sheet computes with it, it can't make it for you.</t>
  </si>
  <si>
    <t xml:space="preserve">• The learning-curve projection models new operators / new products; it is not a steady-state standard.</t>
  </si>
  <si>
    <t xml:space="preserve">• Charts reference the full projection range; unfilled rows can render as gaps or zeros — a charting artifact, not data.</t>
  </si>
  <si>
    <t xml:space="preserve">Setup — industry &amp; process type</t>
  </si>
  <si>
    <t xml:space="preserve">Pick your industry and process type; terminology and defaults below adapt automatically and feed every other sheet.</t>
  </si>
  <si>
    <t xml:space="preserve">Industry</t>
  </si>
  <si>
    <t xml:space="preserve">Automotive</t>
  </si>
  <si>
    <t xml:space="preserve">Process type</t>
  </si>
  <si>
    <t xml:space="preserve">Discrete assembly</t>
  </si>
  <si>
    <t xml:space="preserve">Adapted terminology &amp; defaults (formulas — do not type here)</t>
  </si>
  <si>
    <t xml:space="preserve">Defect term</t>
  </si>
  <si>
    <t xml:space="preserve">Line term</t>
  </si>
  <si>
    <t xml:space="preserve">Unit term</t>
  </si>
  <si>
    <t xml:space="preserve">Quality standard</t>
  </si>
  <si>
    <t xml:space="preserve">Cpk threshold</t>
  </si>
  <si>
    <t xml:space="preserve">OEE target</t>
  </si>
  <si>
    <t xml:space="preserve">NC repeat threshold</t>
  </si>
  <si>
    <t xml:space="preserve">RPN action threshold</t>
  </si>
  <si>
    <t xml:space="preserve">Other sheets read B8:B15 (green cells there = links to here).</t>
  </si>
  <si>
    <t xml:space="preserve">Terminology dictionary (edit to add industries)</t>
  </si>
  <si>
    <t xml:space="preserve">Cpk thr</t>
  </si>
  <si>
    <t xml:space="preserve">NC repeat</t>
  </si>
  <si>
    <t xml:space="preserve">RPN action</t>
  </si>
  <si>
    <t xml:space="preserve">General manufacturing</t>
  </si>
  <si>
    <t xml:space="preserve">Defect</t>
  </si>
  <si>
    <t xml:space="preserve">Line</t>
  </si>
  <si>
    <t xml:space="preserve">Unit</t>
  </si>
  <si>
    <t xml:space="preserve">ISO 9001</t>
  </si>
  <si>
    <t xml:space="preserve">IATF 16949</t>
  </si>
  <si>
    <t xml:space="preserve">Aerospace &amp; defense</t>
  </si>
  <si>
    <t xml:space="preserve">Non-conformity</t>
  </si>
  <si>
    <t xml:space="preserve">AS9100</t>
  </si>
  <si>
    <t xml:space="preserve">Food &amp; beverage</t>
  </si>
  <si>
    <t xml:space="preserve">Deviation</t>
  </si>
  <si>
    <t xml:space="preserve">Processing line</t>
  </si>
  <si>
    <t xml:space="preserve">Batch</t>
  </si>
  <si>
    <t xml:space="preserve">ISO 9001 / FSSC 22000</t>
  </si>
  <si>
    <t xml:space="preserve">Pharma / medical device</t>
  </si>
  <si>
    <t xml:space="preserve">Lot</t>
  </si>
  <si>
    <t xml:space="preserve">ISO 13485 / 21 CFR 820</t>
  </si>
  <si>
    <t xml:space="preserve">Electronics</t>
  </si>
  <si>
    <t xml:space="preserve">SMT line</t>
  </si>
  <si>
    <t xml:space="preserve">Board</t>
  </si>
  <si>
    <t xml:space="preserve">Warehouse &amp; logistics</t>
  </si>
  <si>
    <t xml:space="preserve">Error</t>
  </si>
  <si>
    <t xml:space="preserve">Pick line</t>
  </si>
  <si>
    <t xml:space="preserve">Order</t>
  </si>
  <si>
    <t xml:space="preserve">Construction</t>
  </si>
  <si>
    <t xml:space="preserve">Punch item</t>
  </si>
  <si>
    <t xml:space="preserve">Crew</t>
  </si>
  <si>
    <t xml:space="preserve">Task</t>
  </si>
  <si>
    <t xml:space="preserve">Guided workflow — Reduce defects (DMAIC)</t>
  </si>
  <si>
    <t xml:space="preserve">Mirrors the Procyra web app's guided playbook. Work top to bottom. The app suggests — your team decides; record decisions in the last column.</t>
  </si>
  <si>
    <t xml:space="preserve">Phase</t>
  </si>
  <si>
    <t xml:space="preserve">What to do</t>
  </si>
  <si>
    <t xml:space="preserve">Sheet to use</t>
  </si>
  <si>
    <t xml:space="preserve">Watch out for</t>
  </si>
  <si>
    <t xml:space="preserve">Team decision / notes (type here)</t>
  </si>
  <si>
    <t xml:space="preserve">Define</t>
  </si>
  <si>
    <t xml:space="preserve">Pick the job and break it into 5-12 repeatable elements with clear start/stop points.</t>
  </si>
  <si>
    <t xml:space="preserve">Elements longer than ~30s hide variation; shorter than ~2s are hard to time.</t>
  </si>
  <si>
    <t xml:space="preserve">Measure</t>
  </si>
  <si>
    <t xml:space="preserve">Record 5-10 observed cycles per element; rate the operator's pace (100 = normal).</t>
  </si>
  <si>
    <t xml:space="preserve">Rate the pace you SAW, not the pace you want.</t>
  </si>
  <si>
    <t xml:space="preserve">Analyze</t>
  </si>
  <si>
    <t xml:space="preserve">Review normal times; set Personal/Fatigue/Delay allowances honestly.</t>
  </si>
  <si>
    <t xml:space="preserve">Allowances are policy — agree them with the team, don't bury them.</t>
  </si>
  <si>
    <t xml:space="preserve">Improve</t>
  </si>
  <si>
    <t xml:space="preserve">Use the standard time for staffing, costing, and line balancing (module in the web app, Phase 2).</t>
  </si>
  <si>
    <t xml:space="preserve">A standard from one operator on one shift is a sample, not a law.</t>
  </si>
  <si>
    <t xml:space="preserve">Control</t>
  </si>
  <si>
    <t xml:space="preserve">For new products/operators, plan capacity with the learning-curve projection, then re-study.</t>
  </si>
  <si>
    <t xml:space="preserve">Re-time after the curve flattens; keep the standard current.</t>
  </si>
  <si>
    <t xml:space="preserve">Time study — observed to standard time</t>
  </si>
  <si>
    <t xml:space="preserve">Allowances (% of normal time)</t>
  </si>
  <si>
    <t xml:space="preserve">Personal</t>
  </si>
  <si>
    <t xml:space="preserve">Fatigue</t>
  </si>
  <si>
    <t xml:space="preserve">Delay</t>
  </si>
  <si>
    <t xml:space="preserve">Total PFD</t>
  </si>
  <si>
    <t xml:space="preserve">#</t>
  </si>
  <si>
    <t xml:space="preserve">Element description</t>
  </si>
  <si>
    <t xml:space="preserve">Obs1</t>
  </si>
  <si>
    <t xml:space="preserve">Obs2</t>
  </si>
  <si>
    <t xml:space="preserve">Obs3</t>
  </si>
  <si>
    <t xml:space="preserve">Obs4</t>
  </si>
  <si>
    <t xml:space="preserve">Obs5</t>
  </si>
  <si>
    <t xml:space="preserve">Obs6</t>
  </si>
  <si>
    <t xml:space="preserve">Obs7</t>
  </si>
  <si>
    <t xml:space="preserve">Obs8</t>
  </si>
  <si>
    <t xml:space="preserve">Rating %</t>
  </si>
  <si>
    <t xml:space="preserve">Avg observed</t>
  </si>
  <si>
    <t xml:space="preserve">Normal time</t>
  </si>
  <si>
    <t xml:space="preserve">Pick and place housing</t>
  </si>
  <si>
    <t xml:space="preserve">Insert seal and press</t>
  </si>
  <si>
    <t xml:space="preserve">Drive 4 screws</t>
  </si>
  <si>
    <t xml:space="preserve">Function test</t>
  </si>
  <si>
    <t xml:space="preserve">Label and pack</t>
  </si>
  <si>
    <t xml:space="preserve">Normal time (sum)</t>
  </si>
  <si>
    <t xml:space="preserve">Standard time</t>
  </si>
  <si>
    <t xml:space="preserve">Normal = avg observed x rating/100 per element. Standard = sum of normal x (1 + PFD/100). Times in minutes. The web app computes the same numbers from logged observations.</t>
  </si>
  <si>
    <t xml:space="preserve">Learning curve (Wright model)</t>
  </si>
  <si>
    <t xml:space="preserve">Unit-1 time (T1, minutes)</t>
  </si>
  <si>
    <t xml:space="preserve">Suggested from Time Study standard:</t>
  </si>
  <si>
    <t xml:space="preserve">Learning rate % (e.g. 90 = each doubling takes 90% of prior time)</t>
  </si>
  <si>
    <t xml:space="preserve">Exponent b = LN(rate)/LN(2)</t>
  </si>
  <si>
    <t xml:space="preserve">Unit n</t>
  </si>
  <si>
    <t xml:space="preserve">Time per unit (min)</t>
  </si>
  <si>
    <t xml:space="preserve">Cumulative total (min)</t>
  </si>
  <si>
    <t xml:space="preserve">T_n = T1 x n^b with b = LN(rate)/LN(2). Type your own T1 in the yellow cell (the green cell shows the Time Study suggestion). Use for ramp-up planning; re-study once the curve flattens.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</si>
</sst>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A647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2262B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4AD"/>
      </left>
      <right style="thin">
        <color rgb="FFB0B4AD"/>
      </right>
      <top style="thin">
        <color rgb="FFB0B4AD"/>
      </top>
      <bottom style="thin">
        <color rgb="FFB0B4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4AD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6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per unit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'Learning Curve'!B8</c:f>
              <c:strCache>
                <c:ptCount val="1"/>
                <c:pt idx="0">
                  <c:v>Time per unit (min)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'Learning Curve'!$A$9:$A$40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strCache>
            </c:strRef>
          </c:cat>
          <c:val>
            <c:numRef>
              <c:f>'Learning Curve'!$B$9:$B$40</c:f>
              <c:numCache>
                <c:formatCode>General</c:formatCode>
                <c:ptCount val="32"/>
                <c:pt idx="0">
                  <c:v>3</c:v>
                </c:pt>
                <c:pt idx="1">
                  <c:v>2.7</c:v>
                </c:pt>
                <c:pt idx="2">
                  <c:v>2.53861795893703</c:v>
                </c:pt>
                <c:pt idx="3">
                  <c:v>2.43</c:v>
                </c:pt>
                <c:pt idx="4">
                  <c:v>2.34896016504115</c:v>
                </c:pt>
                <c:pt idx="5">
                  <c:v>2.28475616304332</c:v>
                </c:pt>
                <c:pt idx="6">
                  <c:v>2.23184350194673</c:v>
                </c:pt>
                <c:pt idx="7">
                  <c:v>2.187</c:v>
                </c:pt>
                <c:pt idx="8">
                  <c:v>2.14819371381253</c:v>
                </c:pt>
                <c:pt idx="9">
                  <c:v>2.11406414853704</c:v>
                </c:pt>
                <c:pt idx="10">
                  <c:v>2.08365755515383</c:v>
                </c:pt>
                <c:pt idx="11">
                  <c:v>2.05628054673899</c:v>
                </c:pt>
                <c:pt idx="12">
                  <c:v>2.03141389742535</c:v>
                </c:pt>
                <c:pt idx="13">
                  <c:v>2.00865915175205</c:v>
                </c:pt>
                <c:pt idx="14">
                  <c:v>1.98770415326705</c:v>
                </c:pt>
                <c:pt idx="15">
                  <c:v>1.9683</c:v>
                </c:pt>
                <c:pt idx="16">
                  <c:v>1.95024517605379</c:v>
                </c:pt>
                <c:pt idx="17">
                  <c:v>1.93337434243128</c:v>
                </c:pt>
                <c:pt idx="18">
                  <c:v>1.91755024129687</c:v>
                </c:pt>
                <c:pt idx="19">
                  <c:v>1.90265773368333</c:v>
                </c:pt>
                <c:pt idx="20">
                  <c:v>1.88859933185962</c:v>
                </c:pt>
                <c:pt idx="21">
                  <c:v>1.87529179963845</c:v>
                </c:pt>
                <c:pt idx="22">
                  <c:v>1.86266352927034</c:v>
                </c:pt>
                <c:pt idx="23">
                  <c:v>1.85065249206509</c:v>
                </c:pt>
                <c:pt idx="24">
                  <c:v>1.83920461898339</c:v>
                </c:pt>
                <c:pt idx="25">
                  <c:v>1.82827250768282</c:v>
                </c:pt>
                <c:pt idx="26">
                  <c:v>1.8178143803867</c:v>
                </c:pt>
                <c:pt idx="27">
                  <c:v>1.80779323657685</c:v>
                </c:pt>
                <c:pt idx="28">
                  <c:v>1.79817615853816</c:v>
                </c:pt>
                <c:pt idx="29">
                  <c:v>1.78893373794035</c:v>
                </c:pt>
                <c:pt idx="30">
                  <c:v>1.78003959908881</c:v>
                </c:pt>
                <c:pt idx="31">
                  <c:v>1.77147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985143"/>
        <c:axId val="71061568"/>
      </c:lineChart>
      <c:catAx>
        <c:axId val="29985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61568"/>
        <c:crosses val="autoZero"/>
        <c:auto val="1"/>
        <c:lblAlgn val="ctr"/>
        <c:lblOffset val="100"/>
        <c:noMultiLvlLbl val="0"/>
      </c:catAx>
      <c:valAx>
        <c:axId val="71061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851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15</xdr:col>
      <xdr:colOff>473040</xdr:colOff>
      <xdr:row>18</xdr:row>
      <xdr:rowOff>68400</xdr:rowOff>
    </xdr:to>
    <xdr:graphicFrame>
      <xdr:nvGraphicFramePr>
        <xdr:cNvPr id="0" name="Chart 1"/>
        <xdr:cNvGraphicFramePr/>
      </xdr:nvGraphicFramePr>
      <xdr:xfrm>
        <a:off x="357192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</row>
    <row r="6" customFormat="false" ht="15" hidden="false" customHeight="false" outlineLevel="0" collapsed="false">
      <c r="A6" s="5" t="s">
        <v>4</v>
      </c>
      <c r="B6" s="5"/>
      <c r="C6" s="5"/>
      <c r="D6" s="5"/>
    </row>
    <row r="7" customFormat="false" ht="15" hidden="false" customHeight="false" outlineLevel="0" collapsed="false">
      <c r="A7" s="6" t="s">
        <v>5</v>
      </c>
      <c r="B7" s="6"/>
      <c r="C7" s="6"/>
      <c r="D7" s="6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7" t="s">
        <v>7</v>
      </c>
    </row>
    <row r="11" customFormat="false" ht="15" hidden="false" customHeight="false" outlineLevel="0" collapsed="false">
      <c r="A11" s="7" t="s">
        <v>8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7" t="s">
        <v>10</v>
      </c>
    </row>
    <row r="14" customFormat="false" ht="15" hidden="false" customHeight="false" outlineLevel="0" collapsed="false">
      <c r="A14" s="7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8" t="s">
        <v>13</v>
      </c>
      <c r="B17" s="7" t="s">
        <v>14</v>
      </c>
    </row>
    <row r="18" customFormat="false" ht="15" hidden="false" customHeight="false" outlineLevel="0" collapsed="false">
      <c r="A18" s="8" t="s">
        <v>15</v>
      </c>
      <c r="B18" s="7" t="s">
        <v>16</v>
      </c>
    </row>
    <row r="19" customFormat="false" ht="15" hidden="false" customHeight="false" outlineLevel="0" collapsed="false">
      <c r="A19" s="8" t="s">
        <v>17</v>
      </c>
      <c r="B19" s="7" t="s">
        <v>18</v>
      </c>
    </row>
    <row r="20" customFormat="false" ht="15" hidden="false" customHeight="false" outlineLevel="0" collapsed="false">
      <c r="A20" s="8" t="s">
        <v>19</v>
      </c>
      <c r="B20" s="7" t="s">
        <v>20</v>
      </c>
    </row>
    <row r="22" customFormat="false" ht="15" hidden="false" customHeight="false" outlineLevel="0" collapsed="false">
      <c r="A22" s="3" t="s">
        <v>21</v>
      </c>
    </row>
    <row r="23" customFormat="false" ht="15" hidden="false" customHeight="false" outlineLevel="0" collapsed="false">
      <c r="A23" s="7" t="s">
        <v>22</v>
      </c>
    </row>
    <row r="24" customFormat="false" ht="15" hidden="false" customHeight="false" outlineLevel="0" collapsed="false">
      <c r="A24" s="7" t="s">
        <v>23</v>
      </c>
    </row>
    <row r="25" customFormat="false" ht="15" hidden="false" customHeight="false" outlineLevel="0" collapsed="false">
      <c r="A25" s="7" t="s">
        <v>24</v>
      </c>
    </row>
  </sheetData>
  <mergeCells count="4">
    <mergeCell ref="A2:E2"/>
    <mergeCell ref="A5:D5"/>
    <mergeCell ref="A6:D6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true" outlineLevel="0" collapsed="false">
      <c r="A2" s="2" t="s">
        <v>26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27</v>
      </c>
      <c r="B4" s="4" t="s">
        <v>28</v>
      </c>
    </row>
    <row r="5" customFormat="false" ht="15" hidden="false" customHeight="false" outlineLevel="0" collapsed="false">
      <c r="A5" s="3" t="s">
        <v>29</v>
      </c>
      <c r="B5" s="4" t="s">
        <v>30</v>
      </c>
    </row>
    <row r="7" customFormat="false" ht="15" hidden="false" customHeight="false" outlineLevel="0" collapsed="false">
      <c r="A7" s="8" t="s">
        <v>31</v>
      </c>
    </row>
    <row r="8" customFormat="false" ht="15" hidden="false" customHeight="false" outlineLevel="0" collapsed="false">
      <c r="A8" s="9" t="s">
        <v>32</v>
      </c>
      <c r="B8" s="5" t="str">
        <f aca="false">INDEX($E$21:$L$28,MATCH($B$4,$D$21:$D$28,0),1)</f>
        <v>Defect</v>
      </c>
    </row>
    <row r="9" customFormat="false" ht="15" hidden="false" customHeight="false" outlineLevel="0" collapsed="false">
      <c r="A9" s="9" t="s">
        <v>33</v>
      </c>
      <c r="B9" s="5" t="str">
        <f aca="false">INDEX($E$21:$L$28,MATCH($B$4,$D$21:$D$28,0),2)</f>
        <v>Line</v>
      </c>
    </row>
    <row r="10" customFormat="false" ht="15" hidden="false" customHeight="false" outlineLevel="0" collapsed="false">
      <c r="A10" s="9" t="s">
        <v>34</v>
      </c>
      <c r="B10" s="5" t="str">
        <f aca="false">INDEX($E$21:$L$28,MATCH($B$4,$D$21:$D$28,0),3)</f>
        <v>Unit</v>
      </c>
    </row>
    <row r="11" customFormat="false" ht="15" hidden="false" customHeight="false" outlineLevel="0" collapsed="false">
      <c r="A11" s="9" t="s">
        <v>35</v>
      </c>
      <c r="B11" s="5" t="str">
        <f aca="false">INDEX($E$21:$L$28,MATCH($B$4,$D$21:$D$28,0),4)</f>
        <v>IATF 16949</v>
      </c>
    </row>
    <row r="12" customFormat="false" ht="15" hidden="false" customHeight="false" outlineLevel="0" collapsed="false">
      <c r="A12" s="9" t="s">
        <v>36</v>
      </c>
      <c r="B12" s="5" t="n">
        <f aca="false">INDEX($E$21:$L$28,MATCH($B$4,$D$21:$D$28,0),5)</f>
        <v>1.33</v>
      </c>
    </row>
    <row r="13" customFormat="false" ht="15" hidden="false" customHeight="false" outlineLevel="0" collapsed="false">
      <c r="A13" s="9" t="s">
        <v>37</v>
      </c>
      <c r="B13" s="5" t="n">
        <f aca="false">INDEX($E$21:$L$28,MATCH($B$4,$D$21:$D$28,0),6)</f>
        <v>0.85</v>
      </c>
    </row>
    <row r="14" customFormat="false" ht="15" hidden="false" customHeight="false" outlineLevel="0" collapsed="false">
      <c r="A14" s="9" t="s">
        <v>38</v>
      </c>
      <c r="B14" s="5" t="n">
        <f aca="false">INDEX($E$21:$L$28,MATCH($B$4,$D$21:$D$28,0),7)</f>
        <v>3</v>
      </c>
    </row>
    <row r="15" customFormat="false" ht="15" hidden="false" customHeight="false" outlineLevel="0" collapsed="false">
      <c r="A15" s="9" t="s">
        <v>39</v>
      </c>
      <c r="B15" s="5" t="n">
        <f aca="false">INDEX($E$21:$L$28,MATCH($B$4,$D$21:$D$28,0),8)</f>
        <v>100</v>
      </c>
    </row>
    <row r="17" customFormat="false" ht="15" hidden="false" customHeight="false" outlineLevel="0" collapsed="false">
      <c r="A17" s="10" t="s">
        <v>40</v>
      </c>
    </row>
    <row r="19" customFormat="false" ht="15" hidden="false" customHeight="false" outlineLevel="0" collapsed="false">
      <c r="D19" s="8" t="s">
        <v>41</v>
      </c>
    </row>
    <row r="20" customFormat="false" ht="15" hidden="false" customHeight="false" outlineLevel="0" collapsed="false">
      <c r="D20" s="11" t="s">
        <v>27</v>
      </c>
      <c r="E20" s="11" t="s">
        <v>32</v>
      </c>
      <c r="F20" s="11" t="s">
        <v>33</v>
      </c>
      <c r="G20" s="11" t="s">
        <v>34</v>
      </c>
      <c r="H20" s="11" t="s">
        <v>35</v>
      </c>
      <c r="I20" s="11" t="s">
        <v>42</v>
      </c>
      <c r="J20" s="11" t="s">
        <v>37</v>
      </c>
      <c r="K20" s="11" t="s">
        <v>43</v>
      </c>
      <c r="L20" s="11" t="s">
        <v>44</v>
      </c>
    </row>
    <row r="21" customFormat="false" ht="15" hidden="false" customHeight="false" outlineLevel="0" collapsed="false">
      <c r="D21" s="12" t="s">
        <v>45</v>
      </c>
      <c r="E21" s="12" t="s">
        <v>46</v>
      </c>
      <c r="F21" s="12" t="s">
        <v>47</v>
      </c>
      <c r="G21" s="12" t="s">
        <v>48</v>
      </c>
      <c r="H21" s="12" t="s">
        <v>49</v>
      </c>
      <c r="I21" s="12" t="n">
        <v>1.33</v>
      </c>
      <c r="J21" s="12" t="n">
        <v>0.85</v>
      </c>
      <c r="K21" s="12" t="n">
        <v>3</v>
      </c>
      <c r="L21" s="12" t="n">
        <v>100</v>
      </c>
    </row>
    <row r="22" customFormat="false" ht="15" hidden="false" customHeight="false" outlineLevel="0" collapsed="false">
      <c r="D22" s="12" t="s">
        <v>28</v>
      </c>
      <c r="E22" s="12" t="s">
        <v>46</v>
      </c>
      <c r="F22" s="12" t="s">
        <v>47</v>
      </c>
      <c r="G22" s="12" t="s">
        <v>48</v>
      </c>
      <c r="H22" s="12" t="s">
        <v>50</v>
      </c>
      <c r="I22" s="12" t="n">
        <v>1.33</v>
      </c>
      <c r="J22" s="12" t="n">
        <v>0.85</v>
      </c>
      <c r="K22" s="12" t="n">
        <v>3</v>
      </c>
      <c r="L22" s="12" t="n">
        <v>100</v>
      </c>
    </row>
    <row r="23" customFormat="false" ht="15" hidden="false" customHeight="false" outlineLevel="0" collapsed="false">
      <c r="D23" s="12" t="s">
        <v>51</v>
      </c>
      <c r="E23" s="12" t="s">
        <v>52</v>
      </c>
      <c r="F23" s="12" t="s">
        <v>47</v>
      </c>
      <c r="G23" s="12" t="s">
        <v>48</v>
      </c>
      <c r="H23" s="12" t="s">
        <v>53</v>
      </c>
      <c r="I23" s="12" t="n">
        <v>1.67</v>
      </c>
      <c r="J23" s="12" t="n">
        <v>0.85</v>
      </c>
      <c r="K23" s="12" t="n">
        <v>2</v>
      </c>
      <c r="L23" s="12" t="n">
        <v>80</v>
      </c>
    </row>
    <row r="24" customFormat="false" ht="15" hidden="false" customHeight="false" outlineLevel="0" collapsed="false">
      <c r="D24" s="12" t="s">
        <v>54</v>
      </c>
      <c r="E24" s="12" t="s">
        <v>55</v>
      </c>
      <c r="F24" s="12" t="s">
        <v>56</v>
      </c>
      <c r="G24" s="12" t="s">
        <v>57</v>
      </c>
      <c r="H24" s="12" t="s">
        <v>58</v>
      </c>
      <c r="I24" s="12" t="n">
        <v>1.33</v>
      </c>
      <c r="J24" s="12" t="n">
        <v>0.85</v>
      </c>
      <c r="K24" s="12" t="n">
        <v>3</v>
      </c>
      <c r="L24" s="12" t="n">
        <v>100</v>
      </c>
    </row>
    <row r="25" customFormat="false" ht="15" hidden="false" customHeight="false" outlineLevel="0" collapsed="false">
      <c r="D25" s="12" t="s">
        <v>59</v>
      </c>
      <c r="E25" s="12" t="s">
        <v>55</v>
      </c>
      <c r="F25" s="12" t="s">
        <v>47</v>
      </c>
      <c r="G25" s="12" t="s">
        <v>60</v>
      </c>
      <c r="H25" s="12" t="s">
        <v>61</v>
      </c>
      <c r="I25" s="12" t="n">
        <v>1.67</v>
      </c>
      <c r="J25" s="12" t="n">
        <v>0.85</v>
      </c>
      <c r="K25" s="12" t="n">
        <v>2</v>
      </c>
      <c r="L25" s="12" t="n">
        <v>80</v>
      </c>
    </row>
    <row r="26" customFormat="false" ht="15" hidden="false" customHeight="false" outlineLevel="0" collapsed="false">
      <c r="D26" s="12" t="s">
        <v>62</v>
      </c>
      <c r="E26" s="12" t="s">
        <v>46</v>
      </c>
      <c r="F26" s="12" t="s">
        <v>63</v>
      </c>
      <c r="G26" s="12" t="s">
        <v>64</v>
      </c>
      <c r="H26" s="12" t="s">
        <v>49</v>
      </c>
      <c r="I26" s="12" t="n">
        <v>1.33</v>
      </c>
      <c r="J26" s="12" t="n">
        <v>0.85</v>
      </c>
      <c r="K26" s="12" t="n">
        <v>3</v>
      </c>
      <c r="L26" s="12" t="n">
        <v>100</v>
      </c>
    </row>
    <row r="27" customFormat="false" ht="15" hidden="false" customHeight="false" outlineLevel="0" collapsed="false">
      <c r="D27" s="12" t="s">
        <v>65</v>
      </c>
      <c r="E27" s="12" t="s">
        <v>66</v>
      </c>
      <c r="F27" s="12" t="s">
        <v>67</v>
      </c>
      <c r="G27" s="12" t="s">
        <v>68</v>
      </c>
      <c r="H27" s="12" t="s">
        <v>49</v>
      </c>
      <c r="I27" s="12" t="n">
        <v>1.33</v>
      </c>
      <c r="J27" s="12" t="n">
        <v>0.75</v>
      </c>
      <c r="K27" s="12" t="n">
        <v>3</v>
      </c>
      <c r="L27" s="12" t="n">
        <v>100</v>
      </c>
    </row>
    <row r="28" customFormat="false" ht="15" hidden="false" customHeight="false" outlineLevel="0" collapsed="false">
      <c r="D28" s="12" t="s">
        <v>69</v>
      </c>
      <c r="E28" s="12" t="s">
        <v>70</v>
      </c>
      <c r="F28" s="12" t="s">
        <v>71</v>
      </c>
      <c r="G28" s="12" t="s">
        <v>72</v>
      </c>
      <c r="H28" s="12" t="s">
        <v>49</v>
      </c>
      <c r="I28" s="12" t="n">
        <v>1.33</v>
      </c>
      <c r="J28" s="12" t="n">
        <v>0.75</v>
      </c>
      <c r="K28" s="12" t="n">
        <v>3</v>
      </c>
      <c r="L28" s="12" t="n">
        <v>100</v>
      </c>
    </row>
  </sheetData>
  <mergeCells count="1">
    <mergeCell ref="A2:F2"/>
  </mergeCells>
  <dataValidations count="2">
    <dataValidation allowBlank="false" errorStyle="stop" operator="between" showDropDown="false" showErrorMessage="false" showInputMessage="false" sqref="B4" type="list">
      <formula1>"General manufacturing,Automotive,Aerospace &amp; defense,Food &amp; beverage,Pharma / medical device,Electronics,Warehouse &amp; logistics,Construction"</formula1>
      <formula2>0</formula2>
    </dataValidation>
    <dataValidation allowBlank="false" errorStyle="stop" operator="between" showDropDown="false" showErrorMessage="false" showInputMessage="false" sqref="B5" type="list">
      <formula1>"Discrete assembly,Batch production,Continuous process,Job shop,Service / transactional"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5" min="4" style="0" width="40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true" outlineLevel="0" collapsed="false">
      <c r="A2" s="2" t="s">
        <v>74</v>
      </c>
      <c r="B2" s="2"/>
      <c r="C2" s="2"/>
      <c r="D2" s="2"/>
      <c r="E2" s="2"/>
    </row>
    <row r="4" customFormat="false" ht="15" hidden="false" customHeight="false" outlineLevel="0" collapsed="false">
      <c r="A4" s="11" t="s">
        <v>75</v>
      </c>
      <c r="B4" s="11" t="s">
        <v>76</v>
      </c>
      <c r="C4" s="11" t="s">
        <v>77</v>
      </c>
      <c r="D4" s="11" t="s">
        <v>78</v>
      </c>
      <c r="E4" s="11" t="s">
        <v>79</v>
      </c>
    </row>
    <row r="5" customFormat="false" ht="42" hidden="false" customHeight="true" outlineLevel="0" collapsed="false">
      <c r="A5" s="8" t="s">
        <v>80</v>
      </c>
      <c r="B5" s="13" t="s">
        <v>81</v>
      </c>
      <c r="C5" s="7" t="s">
        <v>17</v>
      </c>
      <c r="D5" s="13" t="s">
        <v>82</v>
      </c>
      <c r="E5" s="4"/>
    </row>
    <row r="6" customFormat="false" ht="42" hidden="false" customHeight="true" outlineLevel="0" collapsed="false">
      <c r="A6" s="8" t="s">
        <v>83</v>
      </c>
      <c r="B6" s="13" t="s">
        <v>84</v>
      </c>
      <c r="C6" s="7" t="s">
        <v>17</v>
      </c>
      <c r="D6" s="13" t="s">
        <v>85</v>
      </c>
      <c r="E6" s="4"/>
    </row>
    <row r="7" customFormat="false" ht="42" hidden="false" customHeight="true" outlineLevel="0" collapsed="false">
      <c r="A7" s="8" t="s">
        <v>86</v>
      </c>
      <c r="B7" s="13" t="s">
        <v>87</v>
      </c>
      <c r="C7" s="7" t="s">
        <v>17</v>
      </c>
      <c r="D7" s="13" t="s">
        <v>88</v>
      </c>
      <c r="E7" s="4"/>
    </row>
    <row r="8" customFormat="false" ht="42" hidden="false" customHeight="true" outlineLevel="0" collapsed="false">
      <c r="A8" s="8" t="s">
        <v>89</v>
      </c>
      <c r="B8" s="13" t="s">
        <v>90</v>
      </c>
      <c r="C8" s="7" t="s">
        <v>17</v>
      </c>
      <c r="D8" s="13" t="s">
        <v>91</v>
      </c>
      <c r="E8" s="4"/>
    </row>
    <row r="9" customFormat="false" ht="42" hidden="false" customHeight="true" outlineLevel="0" collapsed="false">
      <c r="A9" s="8" t="s">
        <v>92</v>
      </c>
      <c r="B9" s="13" t="s">
        <v>93</v>
      </c>
      <c r="C9" s="7" t="s">
        <v>19</v>
      </c>
      <c r="D9" s="13" t="s">
        <v>94</v>
      </c>
      <c r="E9" s="4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10" min="3" style="0" width="7"/>
    <col collapsed="false" customWidth="true" hidden="false" outlineLevel="0" max="11" min="11" style="0" width="8"/>
    <col collapsed="false" customWidth="true" hidden="false" outlineLevel="0" max="13" min="12" style="0" width="10"/>
  </cols>
  <sheetData>
    <row r="1" customFormat="false" ht="17.35" hidden="false" customHeight="false" outlineLevel="0" collapsed="false">
      <c r="A1" s="1" t="s">
        <v>95</v>
      </c>
    </row>
    <row r="3" customFormat="false" ht="15" hidden="false" customHeight="false" outlineLevel="0" collapsed="false">
      <c r="A3" s="8" t="s">
        <v>96</v>
      </c>
    </row>
    <row r="4" customFormat="false" ht="15" hidden="false" customHeight="false" outlineLevel="0" collapsed="false">
      <c r="A4" s="9" t="s">
        <v>97</v>
      </c>
      <c r="B4" s="4" t="n">
        <v>5</v>
      </c>
    </row>
    <row r="5" customFormat="false" ht="15" hidden="false" customHeight="false" outlineLevel="0" collapsed="false">
      <c r="A5" s="9" t="s">
        <v>98</v>
      </c>
      <c r="B5" s="4" t="n">
        <v>4</v>
      </c>
    </row>
    <row r="6" customFormat="false" ht="15" hidden="false" customHeight="false" outlineLevel="0" collapsed="false">
      <c r="A6" s="9" t="s">
        <v>99</v>
      </c>
      <c r="B6" s="4" t="n">
        <v>3</v>
      </c>
    </row>
    <row r="7" customFormat="false" ht="15" hidden="false" customHeight="false" outlineLevel="0" collapsed="false">
      <c r="A7" s="9" t="s">
        <v>100</v>
      </c>
      <c r="B7" s="5" t="n">
        <f aca="false">IF(COUNT($B$4:$B$6)=0,"",SUM($B$4:$B$6))</f>
        <v>12</v>
      </c>
    </row>
    <row r="9" customFormat="false" ht="22.35" hidden="false" customHeight="false" outlineLevel="0" collapsed="false">
      <c r="A9" s="11" t="s">
        <v>101</v>
      </c>
      <c r="B9" s="11" t="s">
        <v>102</v>
      </c>
      <c r="C9" s="11" t="s">
        <v>103</v>
      </c>
      <c r="D9" s="11" t="s">
        <v>104</v>
      </c>
      <c r="E9" s="11" t="s">
        <v>105</v>
      </c>
      <c r="F9" s="11" t="s">
        <v>106</v>
      </c>
      <c r="G9" s="11" t="s">
        <v>107</v>
      </c>
      <c r="H9" s="11" t="s">
        <v>108</v>
      </c>
      <c r="I9" s="11" t="s">
        <v>109</v>
      </c>
      <c r="J9" s="11" t="s">
        <v>110</v>
      </c>
      <c r="K9" s="11" t="s">
        <v>111</v>
      </c>
      <c r="L9" s="11" t="s">
        <v>112</v>
      </c>
      <c r="M9" s="11" t="s">
        <v>113</v>
      </c>
    </row>
    <row r="10" customFormat="false" ht="15" hidden="false" customHeight="false" outlineLevel="0" collapsed="false">
      <c r="A10" s="4" t="n">
        <v>1</v>
      </c>
      <c r="B10" s="4" t="s">
        <v>114</v>
      </c>
      <c r="C10" s="4" t="n">
        <v>0.42</v>
      </c>
      <c r="D10" s="4" t="n">
        <v>0.45</v>
      </c>
      <c r="E10" s="4" t="n">
        <v>0.4</v>
      </c>
      <c r="F10" s="4" t="n">
        <v>0.44</v>
      </c>
      <c r="G10" s="4" t="n">
        <v>0.43</v>
      </c>
      <c r="H10" s="4"/>
      <c r="I10" s="4"/>
      <c r="J10" s="4"/>
      <c r="K10" s="4" t="n">
        <v>105</v>
      </c>
      <c r="L10" s="5" t="n">
        <f aca="false">IF(COUNT(C10:J10)=0,"",AVERAGE(C10:J10))</f>
        <v>0.428</v>
      </c>
      <c r="M10" s="5" t="n">
        <f aca="false">IF(OR(NOT(ISNUMBER($L10)),NOT(ISNUMBER($K10))),"",$L10*$K10/100)</f>
        <v>0.4494</v>
      </c>
    </row>
    <row r="11" customFormat="false" ht="15" hidden="false" customHeight="false" outlineLevel="0" collapsed="false">
      <c r="A11" s="4" t="n">
        <v>2</v>
      </c>
      <c r="B11" s="4" t="s">
        <v>115</v>
      </c>
      <c r="C11" s="4" t="n">
        <v>0.61</v>
      </c>
      <c r="D11" s="4" t="n">
        <v>0.58</v>
      </c>
      <c r="E11" s="4" t="n">
        <v>0.63</v>
      </c>
      <c r="F11" s="4" t="n">
        <v>0.6</v>
      </c>
      <c r="G11" s="4" t="n">
        <v>0.62</v>
      </c>
      <c r="H11" s="4" t="n">
        <v>0.59</v>
      </c>
      <c r="I11" s="4"/>
      <c r="J11" s="4"/>
      <c r="K11" s="4" t="n">
        <v>100</v>
      </c>
      <c r="L11" s="5" t="n">
        <f aca="false">IF(COUNT(C11:J11)=0,"",AVERAGE(C11:J11))</f>
        <v>0.605</v>
      </c>
      <c r="M11" s="5" t="n">
        <f aca="false">IF(OR(NOT(ISNUMBER($L11)),NOT(ISNUMBER($K11))),"",$L11*$K11/100)</f>
        <v>0.605</v>
      </c>
    </row>
    <row r="12" customFormat="false" ht="15" hidden="false" customHeight="false" outlineLevel="0" collapsed="false">
      <c r="A12" s="4" t="n">
        <v>3</v>
      </c>
      <c r="B12" s="4" t="s">
        <v>116</v>
      </c>
      <c r="C12" s="4" t="n">
        <v>0.88</v>
      </c>
      <c r="D12" s="4" t="n">
        <v>0.92</v>
      </c>
      <c r="E12" s="4" t="n">
        <v>0.85</v>
      </c>
      <c r="F12" s="4" t="n">
        <v>0.9</v>
      </c>
      <c r="G12" s="4" t="n">
        <v>0.91</v>
      </c>
      <c r="H12" s="4"/>
      <c r="I12" s="4"/>
      <c r="J12" s="4"/>
      <c r="K12" s="4" t="n">
        <v>95</v>
      </c>
      <c r="L12" s="5" t="n">
        <f aca="false">IF(COUNT(C12:J12)=0,"",AVERAGE(C12:J12))</f>
        <v>0.892</v>
      </c>
      <c r="M12" s="5" t="n">
        <f aca="false">IF(OR(NOT(ISNUMBER($L12)),NOT(ISNUMBER($K12))),"",$L12*$K12/100)</f>
        <v>0.8474</v>
      </c>
    </row>
    <row r="13" customFormat="false" ht="15" hidden="false" customHeight="false" outlineLevel="0" collapsed="false">
      <c r="A13" s="4" t="n">
        <v>4</v>
      </c>
      <c r="B13" s="4" t="s">
        <v>117</v>
      </c>
      <c r="C13" s="4" t="n">
        <v>0.35</v>
      </c>
      <c r="D13" s="4" t="n">
        <v>0.33</v>
      </c>
      <c r="E13" s="4" t="n">
        <v>0.36</v>
      </c>
      <c r="F13" s="4" t="n">
        <v>0.34</v>
      </c>
      <c r="G13" s="4"/>
      <c r="H13" s="4"/>
      <c r="I13" s="4"/>
      <c r="J13" s="4"/>
      <c r="K13" s="4" t="n">
        <v>100</v>
      </c>
      <c r="L13" s="5" t="n">
        <f aca="false">IF(COUNT(C13:J13)=0,"",AVERAGE(C13:J13))</f>
        <v>0.345</v>
      </c>
      <c r="M13" s="5" t="n">
        <f aca="false">IF(OR(NOT(ISNUMBER($L13)),NOT(ISNUMBER($K13))),"",$L13*$K13/100)</f>
        <v>0.345</v>
      </c>
    </row>
    <row r="14" customFormat="false" ht="15" hidden="false" customHeight="false" outlineLevel="0" collapsed="false">
      <c r="A14" s="4" t="n">
        <v>5</v>
      </c>
      <c r="B14" s="4" t="s">
        <v>118</v>
      </c>
      <c r="C14" s="4" t="n">
        <v>0.28</v>
      </c>
      <c r="D14" s="4" t="n">
        <v>0.3</v>
      </c>
      <c r="E14" s="4" t="n">
        <v>0.27</v>
      </c>
      <c r="F14" s="4" t="n">
        <v>0.29</v>
      </c>
      <c r="G14" s="4" t="n">
        <v>0.28</v>
      </c>
      <c r="H14" s="4"/>
      <c r="I14" s="4"/>
      <c r="J14" s="4"/>
      <c r="K14" s="4" t="n">
        <v>110</v>
      </c>
      <c r="L14" s="5" t="n">
        <f aca="false">IF(COUNT(C14:J14)=0,"",AVERAGE(C14:J14))</f>
        <v>0.284</v>
      </c>
      <c r="M14" s="5" t="n">
        <f aca="false">IF(OR(NOT(ISNUMBER($L14)),NOT(ISNUMBER($K14))),"",$L14*$K14/100)</f>
        <v>0.3124</v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 t="str">
        <f aca="false">IF(COUNT(C15:J15)=0,"",AVERAGE(C15:J15))</f>
        <v/>
      </c>
      <c r="M15" s="5" t="str">
        <f aca="false">IF(OR(NOT(ISNUMBER($L15)),NOT(ISNUMBER($K15))),"",$L15*$K15/100)</f>
        <v/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5" t="str">
        <f aca="false">IF(COUNT(C16:J16)=0,"",AVERAGE(C16:J16))</f>
        <v/>
      </c>
      <c r="M16" s="5" t="str">
        <f aca="false">IF(OR(NOT(ISNUMBER($L16)),NOT(ISNUMBER($K16))),"",$L16*$K16/100)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5" t="str">
        <f aca="false">IF(COUNT(C17:J17)=0,"",AVERAGE(C17:J17))</f>
        <v/>
      </c>
      <c r="M17" s="5" t="str">
        <f aca="false">IF(OR(NOT(ISNUMBER($L17)),NOT(ISNUMBER($K17))),"",$L17*$K17/100)</f>
        <v/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 t="str">
        <f aca="false">IF(COUNT(C18:J18)=0,"",AVERAGE(C18:J18))</f>
        <v/>
      </c>
      <c r="M18" s="5" t="str">
        <f aca="false">IF(OR(NOT(ISNUMBER($L18)),NOT(ISNUMBER($K18))),"",$L18*$K18/100)</f>
        <v/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 t="str">
        <f aca="false">IF(COUNT(C19:J19)=0,"",AVERAGE(C19:J19))</f>
        <v/>
      </c>
      <c r="M19" s="5" t="str">
        <f aca="false">IF(OR(NOT(ISNUMBER($L19)),NOT(ISNUMBER($K19))),"",$L19*$K19/100)</f>
        <v/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5" t="str">
        <f aca="false">IF(COUNT(C20:J20)=0,"",AVERAGE(C20:J20))</f>
        <v/>
      </c>
      <c r="M20" s="5" t="str">
        <f aca="false">IF(OR(NOT(ISNUMBER($L20)),NOT(ISNUMBER($K20))),"",$L20*$K20/100)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" t="str">
        <f aca="false">IF(COUNT(C21:J21)=0,"",AVERAGE(C21:J21))</f>
        <v/>
      </c>
      <c r="M21" s="5" t="str">
        <f aca="false">IF(OR(NOT(ISNUMBER($L21)),NOT(ISNUMBER($K21))),"",$L21*$K21/100)</f>
        <v/>
      </c>
    </row>
    <row r="23" customFormat="false" ht="15" hidden="false" customHeight="false" outlineLevel="0" collapsed="false">
      <c r="L23" s="8" t="s">
        <v>119</v>
      </c>
      <c r="M23" s="5" t="n">
        <f aca="false">IF(COUNT($M$10:$M$21)=0,"",SUM($M$10:$M$21))</f>
        <v>2.5592</v>
      </c>
    </row>
    <row r="24" customFormat="false" ht="15" hidden="false" customHeight="false" outlineLevel="0" collapsed="false">
      <c r="L24" s="8" t="s">
        <v>120</v>
      </c>
      <c r="M24" s="5" t="n">
        <f aca="false">IF(OR($M$23="",$B$7=""),"",$M$23*(1+$B$7/100))</f>
        <v>2.866304</v>
      </c>
    </row>
    <row r="26" customFormat="false" ht="15" hidden="false" customHeight="false" outlineLevel="0" collapsed="false">
      <c r="A26" s="1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122</v>
      </c>
    </row>
    <row r="3" customFormat="false" ht="15" hidden="false" customHeight="false" outlineLevel="0" collapsed="false">
      <c r="A3" s="8" t="s">
        <v>123</v>
      </c>
      <c r="C3" s="4" t="n">
        <v>3</v>
      </c>
    </row>
    <row r="4" customFormat="false" ht="15" hidden="false" customHeight="false" outlineLevel="0" collapsed="false">
      <c r="A4" s="7" t="s">
        <v>124</v>
      </c>
      <c r="C4" s="14" t="n">
        <f aca="false">'Time Study'!$M$24</f>
        <v>2.866304</v>
      </c>
    </row>
    <row r="5" customFormat="false" ht="15" hidden="false" customHeight="false" outlineLevel="0" collapsed="false">
      <c r="A5" s="7" t="s">
        <v>125</v>
      </c>
      <c r="C5" s="4" t="n">
        <v>90</v>
      </c>
    </row>
    <row r="6" customFormat="false" ht="15" hidden="false" customHeight="false" outlineLevel="0" collapsed="false">
      <c r="A6" s="7" t="s">
        <v>126</v>
      </c>
      <c r="C6" s="5" t="n">
        <f aca="false">IF(OR(NOT(ISNUMBER($C$5)),$C$5&lt;=0),"",LN($C$5/100)/LN(2))</f>
        <v>-0.15200309344505</v>
      </c>
    </row>
    <row r="8" customFormat="false" ht="22.35" hidden="false" customHeight="false" outlineLevel="0" collapsed="false">
      <c r="A8" s="11" t="s">
        <v>127</v>
      </c>
      <c r="B8" s="11" t="s">
        <v>128</v>
      </c>
      <c r="C8" s="11" t="s">
        <v>129</v>
      </c>
    </row>
    <row r="9" customFormat="false" ht="15" hidden="false" customHeight="false" outlineLevel="0" collapsed="false">
      <c r="A9" s="9" t="n">
        <v>1</v>
      </c>
      <c r="B9" s="5" t="n">
        <f aca="false">IF(OR(NOT(ISNUMBER($C$3)),$C$6=""),"",$C$3*$A9^$C$6)</f>
        <v>3</v>
      </c>
      <c r="C9" s="5" t="n">
        <f aca="false">IF(ISNUMBER($B9),SUM($B$9:$B9),"")</f>
        <v>3</v>
      </c>
    </row>
    <row r="10" customFormat="false" ht="15" hidden="false" customHeight="false" outlineLevel="0" collapsed="false">
      <c r="A10" s="9" t="n">
        <v>2</v>
      </c>
      <c r="B10" s="5" t="n">
        <f aca="false">IF(OR(NOT(ISNUMBER($C$3)),$C$6=""),"",$C$3*$A10^$C$6)</f>
        <v>2.7</v>
      </c>
      <c r="C10" s="5" t="n">
        <f aca="false">IF(ISNUMBER($B10),SUM($B$9:$B10),"")</f>
        <v>5.7</v>
      </c>
    </row>
    <row r="11" customFormat="false" ht="15" hidden="false" customHeight="false" outlineLevel="0" collapsed="false">
      <c r="A11" s="9" t="n">
        <v>3</v>
      </c>
      <c r="B11" s="5" t="n">
        <f aca="false">IF(OR(NOT(ISNUMBER($C$3)),$C$6=""),"",$C$3*$A11^$C$6)</f>
        <v>2.53861795893703</v>
      </c>
      <c r="C11" s="5" t="n">
        <f aca="false">IF(ISNUMBER($B11),SUM($B$9:$B11),"")</f>
        <v>8.23861795893703</v>
      </c>
    </row>
    <row r="12" customFormat="false" ht="15" hidden="false" customHeight="false" outlineLevel="0" collapsed="false">
      <c r="A12" s="9" t="n">
        <v>4</v>
      </c>
      <c r="B12" s="5" t="n">
        <f aca="false">IF(OR(NOT(ISNUMBER($C$3)),$C$6=""),"",$C$3*$A12^$C$6)</f>
        <v>2.43</v>
      </c>
      <c r="C12" s="5" t="n">
        <f aca="false">IF(ISNUMBER($B12),SUM($B$9:$B12),"")</f>
        <v>10.668617958937</v>
      </c>
    </row>
    <row r="13" customFormat="false" ht="15" hidden="false" customHeight="false" outlineLevel="0" collapsed="false">
      <c r="A13" s="9" t="n">
        <v>5</v>
      </c>
      <c r="B13" s="5" t="n">
        <f aca="false">IF(OR(NOT(ISNUMBER($C$3)),$C$6=""),"",$C$3*$A13^$C$6)</f>
        <v>2.34896016504115</v>
      </c>
      <c r="C13" s="5" t="n">
        <f aca="false">IF(ISNUMBER($B13),SUM($B$9:$B13),"")</f>
        <v>13.0175781239782</v>
      </c>
    </row>
    <row r="14" customFormat="false" ht="15" hidden="false" customHeight="false" outlineLevel="0" collapsed="false">
      <c r="A14" s="9" t="n">
        <v>6</v>
      </c>
      <c r="B14" s="5" t="n">
        <f aca="false">IF(OR(NOT(ISNUMBER($C$3)),$C$6=""),"",$C$3*$A14^$C$6)</f>
        <v>2.28475616304332</v>
      </c>
      <c r="C14" s="5" t="n">
        <f aca="false">IF(ISNUMBER($B14),SUM($B$9:$B14),"")</f>
        <v>15.3023342870215</v>
      </c>
    </row>
    <row r="15" customFormat="false" ht="15" hidden="false" customHeight="false" outlineLevel="0" collapsed="false">
      <c r="A15" s="9" t="n">
        <v>7</v>
      </c>
      <c r="B15" s="5" t="n">
        <f aca="false">IF(OR(NOT(ISNUMBER($C$3)),$C$6=""),"",$C$3*$A15^$C$6)</f>
        <v>2.23184350194673</v>
      </c>
      <c r="C15" s="5" t="n">
        <f aca="false">IF(ISNUMBER($B15),SUM($B$9:$B15),"")</f>
        <v>17.5341777889682</v>
      </c>
    </row>
    <row r="16" customFormat="false" ht="15" hidden="false" customHeight="false" outlineLevel="0" collapsed="false">
      <c r="A16" s="9" t="n">
        <v>8</v>
      </c>
      <c r="B16" s="5" t="n">
        <f aca="false">IF(OR(NOT(ISNUMBER($C$3)),$C$6=""),"",$C$3*$A16^$C$6)</f>
        <v>2.187</v>
      </c>
      <c r="C16" s="5" t="n">
        <f aca="false">IF(ISNUMBER($B16),SUM($B$9:$B16),"")</f>
        <v>19.7211777889682</v>
      </c>
    </row>
    <row r="17" customFormat="false" ht="15" hidden="false" customHeight="false" outlineLevel="0" collapsed="false">
      <c r="A17" s="9" t="n">
        <v>9</v>
      </c>
      <c r="B17" s="5" t="n">
        <f aca="false">IF(OR(NOT(ISNUMBER($C$3)),$C$6=""),"",$C$3*$A17^$C$6)</f>
        <v>2.14819371381253</v>
      </c>
      <c r="C17" s="5" t="n">
        <f aca="false">IF(ISNUMBER($B17),SUM($B$9:$B17),"")</f>
        <v>21.8693715027808</v>
      </c>
    </row>
    <row r="18" customFormat="false" ht="15" hidden="false" customHeight="false" outlineLevel="0" collapsed="false">
      <c r="A18" s="9" t="n">
        <v>10</v>
      </c>
      <c r="B18" s="5" t="n">
        <f aca="false">IF(OR(NOT(ISNUMBER($C$3)),$C$6=""),"",$C$3*$A18^$C$6)</f>
        <v>2.11406414853704</v>
      </c>
      <c r="C18" s="5" t="n">
        <f aca="false">IF(ISNUMBER($B18),SUM($B$9:$B18),"")</f>
        <v>23.9834356513178</v>
      </c>
    </row>
    <row r="19" customFormat="false" ht="15" hidden="false" customHeight="false" outlineLevel="0" collapsed="false">
      <c r="A19" s="9" t="n">
        <v>11</v>
      </c>
      <c r="B19" s="5" t="n">
        <f aca="false">IF(OR(NOT(ISNUMBER($C$3)),$C$6=""),"",$C$3*$A19^$C$6)</f>
        <v>2.08365755515383</v>
      </c>
      <c r="C19" s="5" t="n">
        <f aca="false">IF(ISNUMBER($B19),SUM($B$9:$B19),"")</f>
        <v>26.0670932064716</v>
      </c>
    </row>
    <row r="20" customFormat="false" ht="15" hidden="false" customHeight="false" outlineLevel="0" collapsed="false">
      <c r="A20" s="9" t="n">
        <v>12</v>
      </c>
      <c r="B20" s="5" t="n">
        <f aca="false">IF(OR(NOT(ISNUMBER($C$3)),$C$6=""),"",$C$3*$A20^$C$6)</f>
        <v>2.05628054673899</v>
      </c>
      <c r="C20" s="5" t="n">
        <f aca="false">IF(ISNUMBER($B20),SUM($B$9:$B20),"")</f>
        <v>28.1233737532106</v>
      </c>
    </row>
    <row r="21" customFormat="false" ht="15" hidden="false" customHeight="false" outlineLevel="0" collapsed="false">
      <c r="A21" s="9" t="n">
        <v>13</v>
      </c>
      <c r="B21" s="5" t="n">
        <f aca="false">IF(OR(NOT(ISNUMBER($C$3)),$C$6=""),"",$C$3*$A21^$C$6)</f>
        <v>2.03141389742535</v>
      </c>
      <c r="C21" s="5" t="n">
        <f aca="false">IF(ISNUMBER($B21),SUM($B$9:$B21),"")</f>
        <v>30.154787650636</v>
      </c>
    </row>
    <row r="22" customFormat="false" ht="15" hidden="false" customHeight="false" outlineLevel="0" collapsed="false">
      <c r="A22" s="9" t="n">
        <v>14</v>
      </c>
      <c r="B22" s="5" t="n">
        <f aca="false">IF(OR(NOT(ISNUMBER($C$3)),$C$6=""),"",$C$3*$A22^$C$6)</f>
        <v>2.00865915175205</v>
      </c>
      <c r="C22" s="5" t="n">
        <f aca="false">IF(ISNUMBER($B22),SUM($B$9:$B22),"")</f>
        <v>32.163446802388</v>
      </c>
    </row>
    <row r="23" customFormat="false" ht="15" hidden="false" customHeight="false" outlineLevel="0" collapsed="false">
      <c r="A23" s="9" t="n">
        <v>15</v>
      </c>
      <c r="B23" s="5" t="n">
        <f aca="false">IF(OR(NOT(ISNUMBER($C$3)),$C$6=""),"",$C$3*$A23^$C$6)</f>
        <v>1.98770415326705</v>
      </c>
      <c r="C23" s="5" t="n">
        <f aca="false">IF(ISNUMBER($B23),SUM($B$9:$B23),"")</f>
        <v>34.1511509556551</v>
      </c>
    </row>
    <row r="24" customFormat="false" ht="15" hidden="false" customHeight="false" outlineLevel="0" collapsed="false">
      <c r="A24" s="9" t="n">
        <v>16</v>
      </c>
      <c r="B24" s="5" t="n">
        <f aca="false">IF(OR(NOT(ISNUMBER($C$3)),$C$6=""),"",$C$3*$A24^$C$6)</f>
        <v>1.9683</v>
      </c>
      <c r="C24" s="5" t="n">
        <f aca="false">IF(ISNUMBER($B24),SUM($B$9:$B24),"")</f>
        <v>36.1194509556551</v>
      </c>
    </row>
    <row r="25" customFormat="false" ht="15" hidden="false" customHeight="false" outlineLevel="0" collapsed="false">
      <c r="A25" s="9" t="n">
        <v>17</v>
      </c>
      <c r="B25" s="5" t="n">
        <f aca="false">IF(OR(NOT(ISNUMBER($C$3)),$C$6=""),"",$C$3*$A25^$C$6)</f>
        <v>1.95024517605379</v>
      </c>
      <c r="C25" s="5" t="n">
        <f aca="false">IF(ISNUMBER($B25),SUM($B$9:$B25),"")</f>
        <v>38.0696961317089</v>
      </c>
    </row>
    <row r="26" customFormat="false" ht="15" hidden="false" customHeight="false" outlineLevel="0" collapsed="false">
      <c r="A26" s="9" t="n">
        <v>18</v>
      </c>
      <c r="B26" s="5" t="n">
        <f aca="false">IF(OR(NOT(ISNUMBER($C$3)),$C$6=""),"",$C$3*$A26^$C$6)</f>
        <v>1.93337434243128</v>
      </c>
      <c r="C26" s="5" t="n">
        <f aca="false">IF(ISNUMBER($B26),SUM($B$9:$B26),"")</f>
        <v>40.0030704741401</v>
      </c>
    </row>
    <row r="27" customFormat="false" ht="15" hidden="false" customHeight="false" outlineLevel="0" collapsed="false">
      <c r="A27" s="9" t="n">
        <v>19</v>
      </c>
      <c r="B27" s="5" t="n">
        <f aca="false">IF(OR(NOT(ISNUMBER($C$3)),$C$6=""),"",$C$3*$A27^$C$6)</f>
        <v>1.91755024129687</v>
      </c>
      <c r="C27" s="5" t="n">
        <f aca="false">IF(ISNUMBER($B27),SUM($B$9:$B27),"")</f>
        <v>41.920620715437</v>
      </c>
    </row>
    <row r="28" customFormat="false" ht="15" hidden="false" customHeight="false" outlineLevel="0" collapsed="false">
      <c r="A28" s="9" t="n">
        <v>20</v>
      </c>
      <c r="B28" s="5" t="n">
        <f aca="false">IF(OR(NOT(ISNUMBER($C$3)),$C$6=""),"",$C$3*$A28^$C$6)</f>
        <v>1.90265773368333</v>
      </c>
      <c r="C28" s="5" t="n">
        <f aca="false">IF(ISNUMBER($B28),SUM($B$9:$B28),"")</f>
        <v>43.8232784491203</v>
      </c>
    </row>
    <row r="29" customFormat="false" ht="15" hidden="false" customHeight="false" outlineLevel="0" collapsed="false">
      <c r="A29" s="9" t="n">
        <v>21</v>
      </c>
      <c r="B29" s="5" t="n">
        <f aca="false">IF(OR(NOT(ISNUMBER($C$3)),$C$6=""),"",$C$3*$A29^$C$6)</f>
        <v>1.88859933185962</v>
      </c>
      <c r="C29" s="5" t="n">
        <f aca="false">IF(ISNUMBER($B29),SUM($B$9:$B29),"")</f>
        <v>45.71187778098</v>
      </c>
    </row>
    <row r="30" customFormat="false" ht="15" hidden="false" customHeight="false" outlineLevel="0" collapsed="false">
      <c r="A30" s="9" t="n">
        <v>22</v>
      </c>
      <c r="B30" s="5" t="n">
        <f aca="false">IF(OR(NOT(ISNUMBER($C$3)),$C$6=""),"",$C$3*$A30^$C$6)</f>
        <v>1.87529179963845</v>
      </c>
      <c r="C30" s="5" t="n">
        <f aca="false">IF(ISNUMBER($B30),SUM($B$9:$B30),"")</f>
        <v>47.5871695806184</v>
      </c>
    </row>
    <row r="31" customFormat="false" ht="15" hidden="false" customHeight="false" outlineLevel="0" collapsed="false">
      <c r="A31" s="9" t="n">
        <v>23</v>
      </c>
      <c r="B31" s="5" t="n">
        <f aca="false">IF(OR(NOT(ISNUMBER($C$3)),$C$6=""),"",$C$3*$A31^$C$6)</f>
        <v>1.86266352927034</v>
      </c>
      <c r="C31" s="5" t="n">
        <f aca="false">IF(ISNUMBER($B31),SUM($B$9:$B31),"")</f>
        <v>49.4498331098888</v>
      </c>
    </row>
    <row r="32" customFormat="false" ht="15" hidden="false" customHeight="false" outlineLevel="0" collapsed="false">
      <c r="A32" s="9" t="n">
        <v>24</v>
      </c>
      <c r="B32" s="5" t="n">
        <f aca="false">IF(OR(NOT(ISNUMBER($C$3)),$C$6=""),"",$C$3*$A32^$C$6)</f>
        <v>1.85065249206509</v>
      </c>
      <c r="C32" s="5" t="n">
        <f aca="false">IF(ISNUMBER($B32),SUM($B$9:$B32),"")</f>
        <v>51.3004856019538</v>
      </c>
    </row>
    <row r="33" customFormat="false" ht="15" hidden="false" customHeight="false" outlineLevel="0" collapsed="false">
      <c r="A33" s="9" t="n">
        <v>25</v>
      </c>
      <c r="B33" s="5" t="n">
        <f aca="false">IF(OR(NOT(ISNUMBER($C$3)),$C$6=""),"",$C$3*$A33^$C$6)</f>
        <v>1.83920461898339</v>
      </c>
      <c r="C33" s="5" t="n">
        <f aca="false">IF(ISNUMBER($B33),SUM($B$9:$B33),"")</f>
        <v>53.1396902209372</v>
      </c>
    </row>
    <row r="34" customFormat="false" ht="15" hidden="false" customHeight="false" outlineLevel="0" collapsed="false">
      <c r="A34" s="9" t="n">
        <v>26</v>
      </c>
      <c r="B34" s="5" t="n">
        <f aca="false">IF(OR(NOT(ISNUMBER($C$3)),$C$6=""),"",$C$3*$A34^$C$6)</f>
        <v>1.82827250768282</v>
      </c>
      <c r="C34" s="5" t="n">
        <f aca="false">IF(ISNUMBER($B34),SUM($B$9:$B34),"")</f>
        <v>54.96796272862</v>
      </c>
    </row>
    <row r="35" customFormat="false" ht="15" hidden="false" customHeight="false" outlineLevel="0" collapsed="false">
      <c r="A35" s="9" t="n">
        <v>27</v>
      </c>
      <c r="B35" s="5" t="n">
        <f aca="false">IF(OR(NOT(ISNUMBER($C$3)),$C$6=""),"",$C$3*$A35^$C$6)</f>
        <v>1.8178143803867</v>
      </c>
      <c r="C35" s="5" t="n">
        <f aca="false">IF(ISNUMBER($B35),SUM($B$9:$B35),"")</f>
        <v>56.7857771090068</v>
      </c>
    </row>
    <row r="36" customFormat="false" ht="15" hidden="false" customHeight="false" outlineLevel="0" collapsed="false">
      <c r="A36" s="9" t="n">
        <v>28</v>
      </c>
      <c r="B36" s="5" t="n">
        <f aca="false">IF(OR(NOT(ISNUMBER($C$3)),$C$6=""),"",$C$3*$A36^$C$6)</f>
        <v>1.80779323657685</v>
      </c>
      <c r="C36" s="5" t="n">
        <f aca="false">IF(ISNUMBER($B36),SUM($B$9:$B36),"")</f>
        <v>58.5935703455836</v>
      </c>
    </row>
    <row r="37" customFormat="false" ht="15" hidden="false" customHeight="false" outlineLevel="0" collapsed="false">
      <c r="A37" s="9" t="n">
        <v>29</v>
      </c>
      <c r="B37" s="5" t="n">
        <f aca="false">IF(OR(NOT(ISNUMBER($C$3)),$C$6=""),"",$C$3*$A37^$C$6)</f>
        <v>1.79817615853816</v>
      </c>
      <c r="C37" s="5" t="n">
        <f aca="false">IF(ISNUMBER($B37),SUM($B$9:$B37),"")</f>
        <v>60.3917465041218</v>
      </c>
    </row>
    <row r="38" customFormat="false" ht="15" hidden="false" customHeight="false" outlineLevel="0" collapsed="false">
      <c r="A38" s="9" t="n">
        <v>30</v>
      </c>
      <c r="B38" s="5" t="n">
        <f aca="false">IF(OR(NOT(ISNUMBER($C$3)),$C$6=""),"",$C$3*$A38^$C$6)</f>
        <v>1.78893373794035</v>
      </c>
      <c r="C38" s="5" t="n">
        <f aca="false">IF(ISNUMBER($B38),SUM($B$9:$B38),"")</f>
        <v>62.1806802420621</v>
      </c>
    </row>
    <row r="39" customFormat="false" ht="15" hidden="false" customHeight="false" outlineLevel="0" collapsed="false">
      <c r="A39" s="9" t="n">
        <v>31</v>
      </c>
      <c r="B39" s="5" t="n">
        <f aca="false">IF(OR(NOT(ISNUMBER($C$3)),$C$6=""),"",$C$3*$A39^$C$6)</f>
        <v>1.78003959908881</v>
      </c>
      <c r="C39" s="5" t="n">
        <f aca="false">IF(ISNUMBER($B39),SUM($B$9:$B39),"")</f>
        <v>63.9607198411509</v>
      </c>
    </row>
    <row r="40" customFormat="false" ht="15" hidden="false" customHeight="false" outlineLevel="0" collapsed="false">
      <c r="A40" s="9" t="n">
        <v>32</v>
      </c>
      <c r="B40" s="5" t="n">
        <f aca="false">IF(OR(NOT(ISNUMBER($C$3)),$C$6=""),"",$C$3*$A40^$C$6)</f>
        <v>1.77147</v>
      </c>
      <c r="C40" s="5" t="n">
        <f aca="false">IF(ISNUMBER($B40),SUM($B$9:$B40),"")</f>
        <v>65.7321898411509</v>
      </c>
    </row>
    <row r="42" customFormat="false" ht="15" hidden="false" customHeight="false" outlineLevel="0" collapsed="false">
      <c r="A42" s="1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2026-07-11T14:33:34Z</dcterms:created>
  <dc:creator>openpyxl</dc:creator>
  <dc:description/>
  <dc:language>en-US</dc:language>
  <cp:lastModifiedBy/>
  <dcterms:modified xsi:type="dcterms:W3CDTF">2026-07-11T14:33:36Z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