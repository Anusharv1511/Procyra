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etup" sheetId="2" state="visible" r:id="rId4"/>
    <sheet name="Workflow - Start Here" sheetId="3" state="visible" r:id="rId5"/>
    <sheet name="NC Log" sheetId="4" state="visible" r:id="rId6"/>
    <sheet name="Pareto" sheetId="5" state="visible" r:id="rId7"/>
    <sheet name="FMEA Register" sheetId="6" state="visible" r:id="rId8"/>
    <sheet name="CAPA Track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<sst xmlns="http://schemas.openxmlformats.org/spreadsheetml/2006/main" count="306" uniqueCount="222">
  <si>
    <t xml:space="preserve">Procyra — QE Toolkit (Quality Engineering)</t>
  </si>
  <si>
    <t xml:space="preserve">Companion workbook to the Procyra web app. Same logic, same Phase 1 modules — usable offline and shareable anywhere.</t>
  </si>
  <si>
    <t xml:space="preserve">Color legend</t>
  </si>
  <si>
    <t xml:space="preserve">Input cell — type here (yellow fill, blue bold)</t>
  </si>
  <si>
    <t xml:space="preserve">Formula cell — never overwrite (black text)</t>
  </si>
  <si>
    <t xml:space="preserve">Cross-sheet link (green text)</t>
  </si>
  <si>
    <t xml:space="preserve">How to reuse this workbook</t>
  </si>
  <si>
    <t xml:space="preserve">1. Go to Setup and pick your industry &amp; process type — labels and defaults adapt everywhere.</t>
  </si>
  <si>
    <t xml:space="preserve">2. Every sheet ships with a documented example dataset in the input cells. Study it, then replace it with your data.</t>
  </si>
  <si>
    <t xml:space="preserve">3. Only ever type in yellow cells. Black cells are formulas; green cells pull from another sheet.</t>
  </si>
  <si>
    <t xml:space="preserve">4. To extend a table, insert rows INSIDE the existing range and copy the formula row down.</t>
  </si>
  <si>
    <t xml:space="preserve">5. Compatibility: only classic functions (INDEX/MATCH, SUMIFS, SUMPRODUCT, RANK) — works in old Excel and LibreOffice.</t>
  </si>
  <si>
    <t xml:space="preserve">Sheets in this workbook</t>
  </si>
  <si>
    <t xml:space="preserve">Setup</t>
  </si>
  <si>
    <t xml:space="preserve">Industry &amp; process type — drives the defect terminology and thresholds everywhere.</t>
  </si>
  <si>
    <t xml:space="preserve">Workflow - Start Here</t>
  </si>
  <si>
    <t xml:space="preserve">Guided DMAIC sequence, mirroring the web app's playbook.</t>
  </si>
  <si>
    <t xml:space="preserve">NC Log</t>
  </si>
  <si>
    <t xml:space="preserve">Non-conformance log — one row per occurrence, consistent codes.</t>
  </si>
  <si>
    <t xml:space="preserve">Pareto</t>
  </si>
  <si>
    <t xml:space="preserve">Auto-sorted Pareto from the NC Log: RANK-based ordering, cumulative % computed on the sorted series.</t>
  </si>
  <si>
    <t xml:space="preserve">FMEA Register</t>
  </si>
  <si>
    <t xml:space="preserve">S x O x D = RPN with action flags vs your industry threshold, plus an auto-sorted top-risk table.</t>
  </si>
  <si>
    <t xml:space="preserve">CAPA Tracker</t>
  </si>
  <si>
    <t xml:space="preserve">Corrective/preventive actions with due dates and overdue flags.</t>
  </si>
  <si>
    <t xml:space="preserve">What this workbook does NOT do (honest limits)</t>
  </si>
  <si>
    <t xml:space="preserve">• The Pareto's category list is typed by you (column A) because auto-extracting unique codes needs functions (UNIQUE) that break older Excel/LibreOffice. The web app aggregates codes automatically.</t>
  </si>
  <si>
    <t xml:space="preserve">• The web app auto-drafts a CAPA when a defect code repeats past your industry threshold; in Excel, watch the repeat counts on the Pareto and open CAPAs yourself.</t>
  </si>
  <si>
    <t xml:space="preserve">• Charts reference the full input range; unfilled rows can render as gaps or zeros — a charting artifact, not data.</t>
  </si>
  <si>
    <t xml:space="preserve">Setup — industry &amp; process type</t>
  </si>
  <si>
    <t xml:space="preserve">Pick your industry and process type; terminology and defaults below adapt automatically and feed every other sheet.</t>
  </si>
  <si>
    <t xml:space="preserve">Industry</t>
  </si>
  <si>
    <t xml:space="preserve">Automotive</t>
  </si>
  <si>
    <t xml:space="preserve">Process type</t>
  </si>
  <si>
    <t xml:space="preserve">Discrete assembly</t>
  </si>
  <si>
    <t xml:space="preserve">Adapted terminology &amp; defaults (formulas — do not type here)</t>
  </si>
  <si>
    <t xml:space="preserve">Defect term</t>
  </si>
  <si>
    <t xml:space="preserve">Line term</t>
  </si>
  <si>
    <t xml:space="preserve">Unit term</t>
  </si>
  <si>
    <t xml:space="preserve">Quality standard</t>
  </si>
  <si>
    <t xml:space="preserve">Cpk threshold</t>
  </si>
  <si>
    <t xml:space="preserve">OEE target</t>
  </si>
  <si>
    <t xml:space="preserve">NC repeat threshold</t>
  </si>
  <si>
    <t xml:space="preserve">RPN action threshold</t>
  </si>
  <si>
    <t xml:space="preserve">Other sheets read B8:B15 (green cells there = links to here).</t>
  </si>
  <si>
    <t xml:space="preserve">Terminology dictionary (edit to add industries)</t>
  </si>
  <si>
    <t xml:space="preserve">Cpk thr</t>
  </si>
  <si>
    <t xml:space="preserve">NC repeat</t>
  </si>
  <si>
    <t xml:space="preserve">RPN action</t>
  </si>
  <si>
    <t xml:space="preserve">General manufacturing</t>
  </si>
  <si>
    <t xml:space="preserve">Defect</t>
  </si>
  <si>
    <t xml:space="preserve">Line</t>
  </si>
  <si>
    <t xml:space="preserve">Unit</t>
  </si>
  <si>
    <t xml:space="preserve">ISO 9001</t>
  </si>
  <si>
    <t xml:space="preserve">IATF 16949</t>
  </si>
  <si>
    <t xml:space="preserve">Aerospace &amp; defense</t>
  </si>
  <si>
    <t xml:space="preserve">Non-conformity</t>
  </si>
  <si>
    <t xml:space="preserve">AS9100</t>
  </si>
  <si>
    <t xml:space="preserve">Food &amp; beverage</t>
  </si>
  <si>
    <t xml:space="preserve">Deviation</t>
  </si>
  <si>
    <t xml:space="preserve">Processing line</t>
  </si>
  <si>
    <t xml:space="preserve">Batch</t>
  </si>
  <si>
    <t xml:space="preserve">ISO 9001 / FSSC 22000</t>
  </si>
  <si>
    <t xml:space="preserve">Pharma / medical device</t>
  </si>
  <si>
    <t xml:space="preserve">Lot</t>
  </si>
  <si>
    <t xml:space="preserve">ISO 13485 / 21 CFR 820</t>
  </si>
  <si>
    <t xml:space="preserve">Electronics</t>
  </si>
  <si>
    <t xml:space="preserve">SMT line</t>
  </si>
  <si>
    <t xml:space="preserve">Board</t>
  </si>
  <si>
    <t xml:space="preserve">Warehouse &amp; logistics</t>
  </si>
  <si>
    <t xml:space="preserve">Error</t>
  </si>
  <si>
    <t xml:space="preserve">Pick line</t>
  </si>
  <si>
    <t xml:space="preserve">Order</t>
  </si>
  <si>
    <t xml:space="preserve">Construction</t>
  </si>
  <si>
    <t xml:space="preserve">Punch item</t>
  </si>
  <si>
    <t xml:space="preserve">Crew</t>
  </si>
  <si>
    <t xml:space="preserve">Task</t>
  </si>
  <si>
    <t xml:space="preserve">Guided workflow — Reduce defects (DMAIC)</t>
  </si>
  <si>
    <t xml:space="preserve">Mirrors the Procyra web app's guided playbook. Work top to bottom. The app suggests — your team decides; record decisions in the last column.</t>
  </si>
  <si>
    <t xml:space="preserve">Phase</t>
  </si>
  <si>
    <t xml:space="preserve">What to do</t>
  </si>
  <si>
    <t xml:space="preserve">Sheet to use</t>
  </si>
  <si>
    <t xml:space="preserve">Watch out for</t>
  </si>
  <si>
    <t xml:space="preserve">Team decision / notes (type here)</t>
  </si>
  <si>
    <t xml:space="preserve">Define</t>
  </si>
  <si>
    <t xml:space="preserve">Agree one defect coding list for the team; write the problem statement.</t>
  </si>
  <si>
    <t xml:space="preserve">Free-typed codes (SCRATCH vs Scratch vs scratched) split one problem into three bars.</t>
  </si>
  <si>
    <t xml:space="preserve">Measure</t>
  </si>
  <si>
    <t xml:space="preserve">Log every occurrence as it happens with code, area, and quantity.</t>
  </si>
  <si>
    <t xml:space="preserve">End-of-shift memory logging undercounts small defects.</t>
  </si>
  <si>
    <t xml:space="preserve">Analyze</t>
  </si>
  <si>
    <t xml:space="preserve">Read the Pareto: attack the biggest bar, check the cumulative 80% point.</t>
  </si>
  <si>
    <t xml:space="preserve">A flat Pareto (no dominant bar) suggests a systemic cause, not a defect-specific one.</t>
  </si>
  <si>
    <t xml:space="preserve">Improve</t>
  </si>
  <si>
    <t xml:space="preserve">Open a CAPA for the chosen defect; assign owner and due date.</t>
  </si>
  <si>
    <t xml:space="preserve">A CAPA without an owner and a date is a wish.</t>
  </si>
  <si>
    <t xml:space="preserve">Control</t>
  </si>
  <si>
    <t xml:space="preserve">Update FMEA occurrence scores for addressed failure modes; keep logging.</t>
  </si>
  <si>
    <t xml:space="preserve">If RPN doesn't drop after the fix, the fix didn't work — or the scoring is optimistic.</t>
  </si>
  <si>
    <t xml:space="preserve">Non-conformance log</t>
  </si>
  <si>
    <t xml:space="preserve">Term for this industry:</t>
  </si>
  <si>
    <t xml:space="preserve">Date</t>
  </si>
  <si>
    <t xml:space="preserve">Code</t>
  </si>
  <si>
    <t xml:space="preserve">Process area</t>
  </si>
  <si>
    <t xml:space="preserve">Qty</t>
  </si>
  <si>
    <t xml:space="preserve">Severity</t>
  </si>
  <si>
    <t xml:space="preserve">Description</t>
  </si>
  <si>
    <t xml:space="preserve">2026-06-01</t>
  </si>
  <si>
    <t xml:space="preserve">SCRATCH</t>
  </si>
  <si>
    <t xml:space="preserve">Line 4</t>
  </si>
  <si>
    <t xml:space="preserve">Minor</t>
  </si>
  <si>
    <t xml:space="preserve">Surface scratches after conveyor transfer</t>
  </si>
  <si>
    <t xml:space="preserve">LEAK-01</t>
  </si>
  <si>
    <t xml:space="preserve">Test bench</t>
  </si>
  <si>
    <t xml:space="preserve">Major</t>
  </si>
  <si>
    <t xml:space="preserve">Seal leak at 2 bar</t>
  </si>
  <si>
    <t xml:space="preserve">2026-06-02</t>
  </si>
  <si>
    <t xml:space="preserve">2026-06-03</t>
  </si>
  <si>
    <t xml:space="preserve">MISALIGN</t>
  </si>
  <si>
    <t xml:space="preserve">Line 2</t>
  </si>
  <si>
    <t xml:space="preserve">Bracket hole misaligned</t>
  </si>
  <si>
    <t xml:space="preserve">2026-06-04</t>
  </si>
  <si>
    <t xml:space="preserve">After fixture change</t>
  </si>
  <si>
    <t xml:space="preserve">2026-06-05</t>
  </si>
  <si>
    <t xml:space="preserve">DENT</t>
  </si>
  <si>
    <t xml:space="preserve">Receiving</t>
  </si>
  <si>
    <t xml:space="preserve">Packaging damage inbound</t>
  </si>
  <si>
    <t xml:space="preserve">2026-06-08</t>
  </si>
  <si>
    <t xml:space="preserve">2026-06-09</t>
  </si>
  <si>
    <t xml:space="preserve">2026-06-10</t>
  </si>
  <si>
    <t xml:space="preserve">WRONG-LABEL</t>
  </si>
  <si>
    <t xml:space="preserve">Packout</t>
  </si>
  <si>
    <t xml:space="preserve">Critical</t>
  </si>
  <si>
    <t xml:space="preserve">Label mixup, contained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</si>
  <si>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</si>
  <si>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</si>
  <si>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</si>
  <si>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</si>
  <si>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Recurring seal supplier lot</t>
  </si>
  <si>
    <t xml:space="preserve">2026-06-17</t>
  </si>
  <si>
    <t xml:space="preserve">2026-06-18</t>
  </si>
  <si>
    <t xml:space="preserve">2026-06-19</t>
  </si>
  <si>
    <t xml:space="preserve">Keep codes consistent — the Pareto matches on exact text. Add rows INSIDE the range if you need more than 40.</t>
  </si>
  <si>
    <t xml:space="preserve">Pareto — auto-sorted from the NC Log</t>
  </si>
  <si>
    <t xml:space="preserve">Type each distinct code once in column A. Counts pull from the NC Log; the sorted table and chart update automatically.</t>
  </si>
  <si>
    <t xml:space="preserve">Sort key/Rank are helpers for the sorted table — leave them alone.</t>
  </si>
  <si>
    <t xml:space="preserve">Sorted (largest first) — chart reads this</t>
  </si>
  <si>
    <t xml:space="preserve">Code (type once)</t>
  </si>
  <si>
    <t xml:space="preserve">Total qty</t>
  </si>
  <si>
    <t xml:space="preserve">Sort key</t>
  </si>
  <si>
    <t xml:space="preserve">Rank</t>
  </si>
  <si>
    <t xml:space="preserve">#</t>
  </si>
  <si>
    <t xml:space="preserve">Cumulative %</t>
  </si>
  <si>
    <t xml:space="preserve">Bars are sorted descending; the cumulative % line is computed on the SORTED order so it rises monotonically. Empty category slots may render as gaps — charting artifact.</t>
  </si>
  <si>
    <t xml:space="preserve">FMEA register — RPN with action flags</t>
  </si>
  <si>
    <t xml:space="preserve">RPN action threshold (from Setup):</t>
  </si>
  <si>
    <t xml:space="preserve">Top 5 risks (auto-sorted)</t>
  </si>
  <si>
    <t xml:space="preserve">Process step</t>
  </si>
  <si>
    <t xml:space="preserve">Failure mode</t>
  </si>
  <si>
    <t xml:space="preserve">Effect</t>
  </si>
  <si>
    <t xml:space="preserve">Cause</t>
  </si>
  <si>
    <t xml:space="preserve">S</t>
  </si>
  <si>
    <t xml:space="preserve">O</t>
  </si>
  <si>
    <t xml:space="preserve">D</t>
  </si>
  <si>
    <t xml:space="preserve">RPN</t>
  </si>
  <si>
    <t xml:space="preserve">Action?</t>
  </si>
  <si>
    <t xml:space="preserve">Recommended action</t>
  </si>
  <si>
    <t xml:space="preserve">Status</t>
  </si>
  <si>
    <t xml:space="preserve">Welding</t>
  </si>
  <si>
    <t xml:space="preserve">Cold weld</t>
  </si>
  <si>
    <t xml:space="preserve">Joint fails in service</t>
  </si>
  <si>
    <t xml:space="preserve">Low current setting</t>
  </si>
  <si>
    <t xml:space="preserve">Poka-yoke current interlock</t>
  </si>
  <si>
    <t xml:space="preserve">Open</t>
  </si>
  <si>
    <t xml:space="preserve">Assembly</t>
  </si>
  <si>
    <t xml:space="preserve">Missing clip</t>
  </si>
  <si>
    <t xml:space="preserve">Rattle, warranty claim</t>
  </si>
  <si>
    <t xml:space="preserve">Manual step skipped</t>
  </si>
  <si>
    <t xml:space="preserve">Add sensor check at station</t>
  </si>
  <si>
    <t xml:space="preserve">Wrong label</t>
  </si>
  <si>
    <t xml:space="preserve">Ship to wrong customer</t>
  </si>
  <si>
    <t xml:space="preserve">Similar SKUs adjacent</t>
  </si>
  <si>
    <t xml:space="preserve">Separate label stock bins</t>
  </si>
  <si>
    <t xml:space="preserve">Done</t>
  </si>
  <si>
    <t xml:space="preserve">Test</t>
  </si>
  <si>
    <t xml:space="preserve">Leak undetected</t>
  </si>
  <si>
    <t xml:space="preserve">Field failure</t>
  </si>
  <si>
    <t xml:space="preserve">Test pressure too low</t>
  </si>
  <si>
    <t xml:space="preserve">Raise test pressure per spec</t>
  </si>
  <si>
    <t xml:space="preserve">Damaged housing accepted</t>
  </si>
  <si>
    <t xml:space="preserve">Scrap downstream</t>
  </si>
  <si>
    <t xml:space="preserve">No inbound check</t>
  </si>
  <si>
    <t xml:space="preserve">Sample inspection on arrival</t>
  </si>
  <si>
    <t xml:space="preserve">None</t>
  </si>
  <si>
    <t xml:space="preserve">RPN = S x O x D (1-10 each). ACTION appears when RPN meets your industry threshold. In the web app the register re-sorts itself and threshold crossings raise alerts automatically.</t>
  </si>
  <si>
    <t xml:space="preserve">CAPA tracker</t>
  </si>
  <si>
    <t xml:space="preserve">ID</t>
  </si>
  <si>
    <t xml:space="preserve">Title</t>
  </si>
  <si>
    <t xml:space="preserve">Source</t>
  </si>
  <si>
    <t xml:space="preserve">Linked code</t>
  </si>
  <si>
    <t xml:space="preserve">Owner</t>
  </si>
  <si>
    <t xml:space="preserve">Opened</t>
  </si>
  <si>
    <t xml:space="preserve">Due</t>
  </si>
  <si>
    <t xml:space="preserve">Days to due</t>
  </si>
  <si>
    <t xml:space="preserve">Overdue?</t>
  </si>
  <si>
    <t xml:space="preserve">C-001</t>
  </si>
  <si>
    <t xml:space="preserve">Recurring SCRATCH on Line 4 — fixture redesign</t>
  </si>
  <si>
    <t xml:space="preserve">Auto</t>
  </si>
  <si>
    <t xml:space="preserve">J. Rivera</t>
  </si>
  <si>
    <t xml:space="preserve">2026-07-15</t>
  </si>
  <si>
    <t xml:space="preserve">In progress</t>
  </si>
  <si>
    <t xml:space="preserve">C-002</t>
  </si>
  <si>
    <t xml:space="preserve">Seal supplier lot control for LEAK-01</t>
  </si>
  <si>
    <t xml:space="preserve">Manual</t>
  </si>
  <si>
    <t xml:space="preserve">M. Chen</t>
  </si>
  <si>
    <t xml:space="preserve">2026-07-01</t>
  </si>
  <si>
    <t xml:space="preserve">C-003</t>
  </si>
  <si>
    <t xml:space="preserve">Label bin separation at packout</t>
  </si>
  <si>
    <t xml:space="preserve">A. Osei</t>
  </si>
  <si>
    <t xml:space="preserve">2026-06-20</t>
  </si>
  <si>
    <t xml:space="preserve">Closed</t>
  </si>
  <si>
    <t xml:space="preserve">Dates as YYYY-MM-DD text; Days-to-due uses DATEVALUE and TODAY(), so it updates every time you open the file. Source=Auto mirrors the web app's auto-drafted CAPAs.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</si>
</sst>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A64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26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4AD"/>
      </left>
      <right style="thin">
        <color rgb="FFB0B4AD"/>
      </right>
      <top style="thin">
        <color rgb="FFB0B4AD"/>
      </top>
      <bottom style="thin">
        <color rgb="FFB0B4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4AD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Pareto!H4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Pareto!$G$5:$G$16</c:f>
              <c:strCache>
                <c:ptCount val="12"/>
                <c:pt idx="0">
                  <c:v>SCRATCH</c:v>
                </c:pt>
                <c:pt idx="1">
                  <c:v>WRONG-LABEL</c:v>
                </c:pt>
                <c:pt idx="2">
                  <c:v>LEAK-01</c:v>
                </c:pt>
                <c:pt idx="3">
                  <c:v>MISALIGN</c:v>
                </c:pt>
                <c:pt idx="4">
                  <c:v>DENT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Pareto!$H$5:$H$16</c:f>
              <c:numCache>
                <c:formatCode>General</c:formatCode>
                <c:ptCount val="12"/>
                <c:pt idx="0">
                  <c:v>16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24856195"/>
        <c:axId val="25604728"/>
      </c:barChart>
      <c:lineChart>
        <c:grouping val="standard"/>
        <c:varyColors val="0"/>
        <c:ser>
          <c:idx val="1"/>
          <c:order val="1"/>
          <c:tx>
            <c:strRef>
              <c:f>Pareto!I4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Pareto!$G$5:$G$16</c:f>
              <c:strCache>
                <c:ptCount val="12"/>
                <c:pt idx="0">
                  <c:v>SCRATCH</c:v>
                </c:pt>
                <c:pt idx="1">
                  <c:v>WRONG-LABEL</c:v>
                </c:pt>
                <c:pt idx="2">
                  <c:v>LEAK-01</c:v>
                </c:pt>
                <c:pt idx="3">
                  <c:v>MISALIGN</c:v>
                </c:pt>
                <c:pt idx="4">
                  <c:v>DENT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Pareto!$I$5:$I$16</c:f>
              <c:numCache>
                <c:formatCode>0.0%</c:formatCode>
                <c:ptCount val="12"/>
                <c:pt idx="0">
                  <c:v>0.484848484848485</c:v>
                </c:pt>
                <c:pt idx="1">
                  <c:v>0.636363636363636</c:v>
                </c:pt>
                <c:pt idx="2">
                  <c:v>0.757575757575758</c:v>
                </c:pt>
                <c:pt idx="3">
                  <c:v>0.878787878787879</c:v>
                </c:pt>
                <c:pt idx="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265286"/>
        <c:axId val="94831137"/>
      </c:lineChart>
      <c:catAx>
        <c:axId val="248561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04728"/>
        <c:crosses val="autoZero"/>
        <c:auto val="1"/>
        <c:lblAlgn val="ctr"/>
        <c:lblOffset val="100"/>
        <c:noMultiLvlLbl val="0"/>
      </c:catAx>
      <c:valAx>
        <c:axId val="25604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56195"/>
        <c:crosses val="autoZero"/>
        <c:crossBetween val="between"/>
      </c:valAx>
      <c:catAx>
        <c:axId val="3526528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31137"/>
        <c:crosses val="autoZero"/>
        <c:auto val="1"/>
        <c:lblAlgn val="ctr"/>
        <c:lblOffset val="100"/>
        <c:noMultiLvlLbl val="0"/>
      </c:catAx>
      <c:valAx>
        <c:axId val="9483113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6528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11</xdr:col>
      <xdr:colOff>234720</xdr:colOff>
      <xdr:row>34</xdr:row>
      <xdr:rowOff>161640</xdr:rowOff>
    </xdr:to>
    <xdr:graphicFrame>
      <xdr:nvGraphicFramePr>
        <xdr:cNvPr id="0" name="Chart 1"/>
        <xdr:cNvGraphicFramePr/>
      </xdr:nvGraphicFramePr>
      <xdr:xfrm>
        <a:off x="0" y="3429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5"/>
      <c r="C6" s="5"/>
      <c r="D6" s="5"/>
    </row>
    <row r="7" customFormat="false" ht="15" hidden="false" customHeight="false" outlineLevel="0" collapsed="false">
      <c r="A7" s="6" t="s">
        <v>5</v>
      </c>
      <c r="B7" s="6"/>
      <c r="C7" s="6"/>
      <c r="D7" s="6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7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7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8" t="s">
        <v>13</v>
      </c>
      <c r="B17" s="7" t="s">
        <v>14</v>
      </c>
    </row>
    <row r="18" customFormat="false" ht="15" hidden="false" customHeight="false" outlineLevel="0" collapsed="false">
      <c r="A18" s="8" t="s">
        <v>15</v>
      </c>
      <c r="B18" s="7" t="s">
        <v>16</v>
      </c>
    </row>
    <row r="19" customFormat="false" ht="15" hidden="false" customHeight="false" outlineLevel="0" collapsed="false">
      <c r="A19" s="8" t="s">
        <v>17</v>
      </c>
      <c r="B19" s="7" t="s">
        <v>18</v>
      </c>
    </row>
    <row r="20" customFormat="false" ht="15" hidden="false" customHeight="false" outlineLevel="0" collapsed="false">
      <c r="A20" s="8" t="s">
        <v>19</v>
      </c>
      <c r="B20" s="7" t="s">
        <v>20</v>
      </c>
    </row>
    <row r="21" customFormat="false" ht="15" hidden="false" customHeight="false" outlineLevel="0" collapsed="false">
      <c r="A21" s="8" t="s">
        <v>21</v>
      </c>
      <c r="B21" s="7" t="s">
        <v>22</v>
      </c>
    </row>
    <row r="22" customFormat="false" ht="15" hidden="false" customHeight="false" outlineLevel="0" collapsed="false">
      <c r="A22" s="8" t="s">
        <v>23</v>
      </c>
      <c r="B22" s="7" t="s">
        <v>24</v>
      </c>
    </row>
    <row r="24" customFormat="false" ht="15" hidden="false" customHeight="false" outlineLevel="0" collapsed="false">
      <c r="A24" s="3" t="s">
        <v>25</v>
      </c>
    </row>
    <row r="25" customFormat="false" ht="15" hidden="false" customHeight="false" outlineLevel="0" collapsed="false">
      <c r="A25" s="7" t="s">
        <v>26</v>
      </c>
    </row>
    <row r="26" customFormat="false" ht="15" hidden="false" customHeight="false" outlineLevel="0" collapsed="false">
      <c r="A26" s="7" t="s">
        <v>27</v>
      </c>
    </row>
    <row r="27" customFormat="false" ht="15" hidden="false" customHeight="false" outlineLevel="0" collapsed="false">
      <c r="A27" s="7" t="s">
        <v>28</v>
      </c>
    </row>
  </sheetData>
  <mergeCells count="4">
    <mergeCell ref="A2:E2"/>
    <mergeCell ref="A5:D5"/>
    <mergeCell ref="A6:D6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true" outlineLevel="0" collapsed="false">
      <c r="A2" s="2" t="s">
        <v>30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31</v>
      </c>
      <c r="B4" s="4" t="s">
        <v>32</v>
      </c>
    </row>
    <row r="5" customFormat="false" ht="15" hidden="false" customHeight="false" outlineLevel="0" collapsed="false">
      <c r="A5" s="3" t="s">
        <v>33</v>
      </c>
      <c r="B5" s="4" t="s">
        <v>34</v>
      </c>
    </row>
    <row r="7" customFormat="false" ht="15" hidden="false" customHeight="false" outlineLevel="0" collapsed="false">
      <c r="A7" s="8" t="s">
        <v>35</v>
      </c>
    </row>
    <row r="8" customFormat="false" ht="15" hidden="false" customHeight="false" outlineLevel="0" collapsed="false">
      <c r="A8" s="9" t="s">
        <v>36</v>
      </c>
      <c r="B8" s="5" t="str">
        <f aca="false">INDEX($E$21:$L$28,MATCH($B$4,$D$21:$D$28,0),1)</f>
        <v>Defect</v>
      </c>
    </row>
    <row r="9" customFormat="false" ht="15" hidden="false" customHeight="false" outlineLevel="0" collapsed="false">
      <c r="A9" s="9" t="s">
        <v>37</v>
      </c>
      <c r="B9" s="5" t="str">
        <f aca="false">INDEX($E$21:$L$28,MATCH($B$4,$D$21:$D$28,0),2)</f>
        <v>Line</v>
      </c>
    </row>
    <row r="10" customFormat="false" ht="15" hidden="false" customHeight="false" outlineLevel="0" collapsed="false">
      <c r="A10" s="9" t="s">
        <v>38</v>
      </c>
      <c r="B10" s="5" t="str">
        <f aca="false">INDEX($E$21:$L$28,MATCH($B$4,$D$21:$D$28,0),3)</f>
        <v>Unit</v>
      </c>
    </row>
    <row r="11" customFormat="false" ht="15" hidden="false" customHeight="false" outlineLevel="0" collapsed="false">
      <c r="A11" s="9" t="s">
        <v>39</v>
      </c>
      <c r="B11" s="5" t="str">
        <f aca="false">INDEX($E$21:$L$28,MATCH($B$4,$D$21:$D$28,0),4)</f>
        <v>IATF 16949</v>
      </c>
    </row>
    <row r="12" customFormat="false" ht="15" hidden="false" customHeight="false" outlineLevel="0" collapsed="false">
      <c r="A12" s="9" t="s">
        <v>40</v>
      </c>
      <c r="B12" s="5" t="n">
        <f aca="false">INDEX($E$21:$L$28,MATCH($B$4,$D$21:$D$28,0),5)</f>
        <v>1.33</v>
      </c>
    </row>
    <row r="13" customFormat="false" ht="15" hidden="false" customHeight="false" outlineLevel="0" collapsed="false">
      <c r="A13" s="9" t="s">
        <v>41</v>
      </c>
      <c r="B13" s="5" t="n">
        <f aca="false">INDEX($E$21:$L$28,MATCH($B$4,$D$21:$D$28,0),6)</f>
        <v>0.85</v>
      </c>
    </row>
    <row r="14" customFormat="false" ht="15" hidden="false" customHeight="false" outlineLevel="0" collapsed="false">
      <c r="A14" s="9" t="s">
        <v>42</v>
      </c>
      <c r="B14" s="5" t="n">
        <f aca="false">INDEX($E$21:$L$28,MATCH($B$4,$D$21:$D$28,0),7)</f>
        <v>3</v>
      </c>
    </row>
    <row r="15" customFormat="false" ht="15" hidden="false" customHeight="false" outlineLevel="0" collapsed="false">
      <c r="A15" s="9" t="s">
        <v>43</v>
      </c>
      <c r="B15" s="5" t="n">
        <f aca="false">INDEX($E$21:$L$28,MATCH($B$4,$D$21:$D$28,0),8)</f>
        <v>100</v>
      </c>
    </row>
    <row r="17" customFormat="false" ht="15" hidden="false" customHeight="false" outlineLevel="0" collapsed="false">
      <c r="A17" s="10" t="s">
        <v>44</v>
      </c>
    </row>
    <row r="19" customFormat="false" ht="15" hidden="false" customHeight="false" outlineLevel="0" collapsed="false">
      <c r="D19" s="8" t="s">
        <v>45</v>
      </c>
    </row>
    <row r="20" customFormat="false" ht="15" hidden="false" customHeight="false" outlineLevel="0" collapsed="false">
      <c r="D20" s="11" t="s">
        <v>31</v>
      </c>
      <c r="E20" s="11" t="s">
        <v>36</v>
      </c>
      <c r="F20" s="11" t="s">
        <v>37</v>
      </c>
      <c r="G20" s="11" t="s">
        <v>38</v>
      </c>
      <c r="H20" s="11" t="s">
        <v>39</v>
      </c>
      <c r="I20" s="11" t="s">
        <v>46</v>
      </c>
      <c r="J20" s="11" t="s">
        <v>41</v>
      </c>
      <c r="K20" s="11" t="s">
        <v>47</v>
      </c>
      <c r="L20" s="11" t="s">
        <v>48</v>
      </c>
    </row>
    <row r="21" customFormat="false" ht="15" hidden="false" customHeight="false" outlineLevel="0" collapsed="false">
      <c r="D21" s="12" t="s">
        <v>49</v>
      </c>
      <c r="E21" s="12" t="s">
        <v>50</v>
      </c>
      <c r="F21" s="12" t="s">
        <v>51</v>
      </c>
      <c r="G21" s="12" t="s">
        <v>52</v>
      </c>
      <c r="H21" s="12" t="s">
        <v>53</v>
      </c>
      <c r="I21" s="12" t="n">
        <v>1.33</v>
      </c>
      <c r="J21" s="12" t="n">
        <v>0.85</v>
      </c>
      <c r="K21" s="12" t="n">
        <v>3</v>
      </c>
      <c r="L21" s="12" t="n">
        <v>100</v>
      </c>
    </row>
    <row r="22" customFormat="false" ht="15" hidden="false" customHeight="false" outlineLevel="0" collapsed="false">
      <c r="D22" s="12" t="s">
        <v>32</v>
      </c>
      <c r="E22" s="12" t="s">
        <v>50</v>
      </c>
      <c r="F22" s="12" t="s">
        <v>51</v>
      </c>
      <c r="G22" s="12" t="s">
        <v>52</v>
      </c>
      <c r="H22" s="12" t="s">
        <v>54</v>
      </c>
      <c r="I22" s="12" t="n">
        <v>1.33</v>
      </c>
      <c r="J22" s="12" t="n">
        <v>0.85</v>
      </c>
      <c r="K22" s="12" t="n">
        <v>3</v>
      </c>
      <c r="L22" s="12" t="n">
        <v>100</v>
      </c>
    </row>
    <row r="23" customFormat="false" ht="15" hidden="false" customHeight="false" outlineLevel="0" collapsed="false">
      <c r="D23" s="12" t="s">
        <v>55</v>
      </c>
      <c r="E23" s="12" t="s">
        <v>56</v>
      </c>
      <c r="F23" s="12" t="s">
        <v>51</v>
      </c>
      <c r="G23" s="12" t="s">
        <v>52</v>
      </c>
      <c r="H23" s="12" t="s">
        <v>57</v>
      </c>
      <c r="I23" s="12" t="n">
        <v>1.67</v>
      </c>
      <c r="J23" s="12" t="n">
        <v>0.85</v>
      </c>
      <c r="K23" s="12" t="n">
        <v>2</v>
      </c>
      <c r="L23" s="12" t="n">
        <v>80</v>
      </c>
    </row>
    <row r="24" customFormat="false" ht="15" hidden="false" customHeight="false" outlineLevel="0" collapsed="false">
      <c r="D24" s="12" t="s">
        <v>58</v>
      </c>
      <c r="E24" s="12" t="s">
        <v>59</v>
      </c>
      <c r="F24" s="12" t="s">
        <v>60</v>
      </c>
      <c r="G24" s="12" t="s">
        <v>61</v>
      </c>
      <c r="H24" s="12" t="s">
        <v>62</v>
      </c>
      <c r="I24" s="12" t="n">
        <v>1.33</v>
      </c>
      <c r="J24" s="12" t="n">
        <v>0.85</v>
      </c>
      <c r="K24" s="12" t="n">
        <v>3</v>
      </c>
      <c r="L24" s="12" t="n">
        <v>100</v>
      </c>
    </row>
    <row r="25" customFormat="false" ht="15" hidden="false" customHeight="false" outlineLevel="0" collapsed="false">
      <c r="D25" s="12" t="s">
        <v>63</v>
      </c>
      <c r="E25" s="12" t="s">
        <v>59</v>
      </c>
      <c r="F25" s="12" t="s">
        <v>51</v>
      </c>
      <c r="G25" s="12" t="s">
        <v>64</v>
      </c>
      <c r="H25" s="12" t="s">
        <v>65</v>
      </c>
      <c r="I25" s="12" t="n">
        <v>1.67</v>
      </c>
      <c r="J25" s="12" t="n">
        <v>0.85</v>
      </c>
      <c r="K25" s="12" t="n">
        <v>2</v>
      </c>
      <c r="L25" s="12" t="n">
        <v>80</v>
      </c>
    </row>
    <row r="26" customFormat="false" ht="15" hidden="false" customHeight="false" outlineLevel="0" collapsed="false">
      <c r="D26" s="12" t="s">
        <v>66</v>
      </c>
      <c r="E26" s="12" t="s">
        <v>50</v>
      </c>
      <c r="F26" s="12" t="s">
        <v>67</v>
      </c>
      <c r="G26" s="12" t="s">
        <v>68</v>
      </c>
      <c r="H26" s="12" t="s">
        <v>53</v>
      </c>
      <c r="I26" s="12" t="n">
        <v>1.33</v>
      </c>
      <c r="J26" s="12" t="n">
        <v>0.85</v>
      </c>
      <c r="K26" s="12" t="n">
        <v>3</v>
      </c>
      <c r="L26" s="12" t="n">
        <v>100</v>
      </c>
    </row>
    <row r="27" customFormat="false" ht="15" hidden="false" customHeight="false" outlineLevel="0" collapsed="false">
      <c r="D27" s="12" t="s">
        <v>69</v>
      </c>
      <c r="E27" s="12" t="s">
        <v>70</v>
      </c>
      <c r="F27" s="12" t="s">
        <v>71</v>
      </c>
      <c r="G27" s="12" t="s">
        <v>72</v>
      </c>
      <c r="H27" s="12" t="s">
        <v>53</v>
      </c>
      <c r="I27" s="12" t="n">
        <v>1.33</v>
      </c>
      <c r="J27" s="12" t="n">
        <v>0.75</v>
      </c>
      <c r="K27" s="12" t="n">
        <v>3</v>
      </c>
      <c r="L27" s="12" t="n">
        <v>100</v>
      </c>
    </row>
    <row r="28" customFormat="false" ht="15" hidden="false" customHeight="false" outlineLevel="0" collapsed="false">
      <c r="D28" s="12" t="s">
        <v>73</v>
      </c>
      <c r="E28" s="12" t="s">
        <v>74</v>
      </c>
      <c r="F28" s="12" t="s">
        <v>75</v>
      </c>
      <c r="G28" s="12" t="s">
        <v>76</v>
      </c>
      <c r="H28" s="12" t="s">
        <v>53</v>
      </c>
      <c r="I28" s="12" t="n">
        <v>1.33</v>
      </c>
      <c r="J28" s="12" t="n">
        <v>0.75</v>
      </c>
      <c r="K28" s="12" t="n">
        <v>3</v>
      </c>
      <c r="L28" s="12" t="n">
        <v>100</v>
      </c>
    </row>
  </sheetData>
  <mergeCells count="1">
    <mergeCell ref="A2:F2"/>
  </mergeCells>
  <dataValidations count="2">
    <dataValidation allowBlank="false" errorStyle="stop" operator="between" showDropDown="false" showErrorMessage="false" showInputMessage="false" sqref="B4" type="list">
      <formula1>"General manufacturing,Automotive,Aerospace &amp; defense,Food &amp; beverage,Pharma / medical device,Electronics,Warehouse &amp; logistics,Construction"</formula1>
      <formula2>0</formula2>
    </dataValidation>
    <dataValidation allowBlank="false" errorStyle="stop" operator="between" showDropDown="false" showErrorMessage="false" showInputMessage="false" sqref="B5" type="list">
      <formula1>"Discrete assembly,Batch production,Continuous process,Job shop,Service / transactional"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79</v>
      </c>
      <c r="B4" s="11" t="s">
        <v>80</v>
      </c>
      <c r="C4" s="11" t="s">
        <v>81</v>
      </c>
      <c r="D4" s="11" t="s">
        <v>82</v>
      </c>
      <c r="E4" s="11" t="s">
        <v>83</v>
      </c>
    </row>
    <row r="5" customFormat="false" ht="42" hidden="false" customHeight="true" outlineLevel="0" collapsed="false">
      <c r="A5" s="8" t="s">
        <v>84</v>
      </c>
      <c r="B5" s="13" t="s">
        <v>85</v>
      </c>
      <c r="C5" s="7" t="s">
        <v>17</v>
      </c>
      <c r="D5" s="13" t="s">
        <v>86</v>
      </c>
      <c r="E5" s="4"/>
    </row>
    <row r="6" customFormat="false" ht="42" hidden="false" customHeight="true" outlineLevel="0" collapsed="false">
      <c r="A6" s="8" t="s">
        <v>87</v>
      </c>
      <c r="B6" s="13" t="s">
        <v>88</v>
      </c>
      <c r="C6" s="7" t="s">
        <v>17</v>
      </c>
      <c r="D6" s="13" t="s">
        <v>89</v>
      </c>
      <c r="E6" s="4"/>
    </row>
    <row r="7" customFormat="false" ht="42" hidden="false" customHeight="true" outlineLevel="0" collapsed="false">
      <c r="A7" s="8" t="s">
        <v>90</v>
      </c>
      <c r="B7" s="13" t="s">
        <v>91</v>
      </c>
      <c r="C7" s="7" t="s">
        <v>19</v>
      </c>
      <c r="D7" s="13" t="s">
        <v>92</v>
      </c>
      <c r="E7" s="4"/>
    </row>
    <row r="8" customFormat="false" ht="42" hidden="false" customHeight="true" outlineLevel="0" collapsed="false">
      <c r="A8" s="8" t="s">
        <v>93</v>
      </c>
      <c r="B8" s="13" t="s">
        <v>94</v>
      </c>
      <c r="C8" s="7" t="s">
        <v>23</v>
      </c>
      <c r="D8" s="13" t="s">
        <v>95</v>
      </c>
      <c r="E8" s="4"/>
    </row>
    <row r="9" customFormat="false" ht="42" hidden="false" customHeight="true" outlineLevel="0" collapsed="false">
      <c r="A9" s="8" t="s">
        <v>96</v>
      </c>
      <c r="B9" s="13" t="s">
        <v>97</v>
      </c>
      <c r="C9" s="7" t="s">
        <v>21</v>
      </c>
      <c r="D9" s="13" t="s">
        <v>98</v>
      </c>
      <c r="E9" s="4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9" t="s">
        <v>100</v>
      </c>
      <c r="B3" s="6" t="str">
        <f aca="false">Setup!$B$8</f>
        <v>Defect</v>
      </c>
    </row>
    <row r="5" customFormat="false" ht="15" hidden="false" customHeight="false" outlineLevel="0" collapsed="false">
      <c r="A5" s="11" t="s">
        <v>101</v>
      </c>
      <c r="B5" s="11" t="s">
        <v>102</v>
      </c>
      <c r="C5" s="11" t="s">
        <v>103</v>
      </c>
      <c r="D5" s="11" t="s">
        <v>104</v>
      </c>
      <c r="E5" s="11" t="s">
        <v>105</v>
      </c>
      <c r="F5" s="11" t="s">
        <v>106</v>
      </c>
    </row>
    <row r="6" customFormat="false" ht="15" hidden="false" customHeight="false" outlineLevel="0" collapsed="false">
      <c r="A6" s="4" t="s">
        <v>107</v>
      </c>
      <c r="B6" s="4" t="s">
        <v>108</v>
      </c>
      <c r="C6" s="4" t="s">
        <v>109</v>
      </c>
      <c r="D6" s="4" t="n">
        <v>3</v>
      </c>
      <c r="E6" s="4" t="s">
        <v>110</v>
      </c>
      <c r="F6" s="4" t="s">
        <v>111</v>
      </c>
    </row>
    <row r="7" customFormat="false" ht="15" hidden="false" customHeight="false" outlineLevel="0" collapsed="false">
      <c r="A7" s="4" t="s">
        <v>107</v>
      </c>
      <c r="B7" s="4" t="s">
        <v>112</v>
      </c>
      <c r="C7" s="4" t="s">
        <v>113</v>
      </c>
      <c r="D7" s="4" t="n">
        <v>1</v>
      </c>
      <c r="E7" s="4" t="s">
        <v>114</v>
      </c>
      <c r="F7" s="4" t="s">
        <v>115</v>
      </c>
    </row>
    <row r="8" customFormat="false" ht="15" hidden="false" customHeight="false" outlineLevel="0" collapsed="false">
      <c r="A8" s="4" t="s">
        <v>116</v>
      </c>
      <c r="B8" s="4" t="s">
        <v>108</v>
      </c>
      <c r="C8" s="4" t="s">
        <v>109</v>
      </c>
      <c r="D8" s="4" t="n">
        <v>2</v>
      </c>
      <c r="E8" s="4" t="s">
        <v>110</v>
      </c>
      <c r="F8" s="4"/>
    </row>
    <row r="9" customFormat="false" ht="15" hidden="false" customHeight="false" outlineLevel="0" collapsed="false">
      <c r="A9" s="4" t="s">
        <v>117</v>
      </c>
      <c r="B9" s="4" t="s">
        <v>118</v>
      </c>
      <c r="C9" s="4" t="s">
        <v>119</v>
      </c>
      <c r="D9" s="4" t="n">
        <v>1</v>
      </c>
      <c r="E9" s="4" t="s">
        <v>114</v>
      </c>
      <c r="F9" s="4" t="s">
        <v>120</v>
      </c>
    </row>
    <row r="10" customFormat="false" ht="15" hidden="false" customHeight="false" outlineLevel="0" collapsed="false">
      <c r="A10" s="4" t="s">
        <v>121</v>
      </c>
      <c r="B10" s="4" t="s">
        <v>108</v>
      </c>
      <c r="C10" s="4" t="s">
        <v>109</v>
      </c>
      <c r="D10" s="4" t="n">
        <v>4</v>
      </c>
      <c r="E10" s="4" t="s">
        <v>110</v>
      </c>
      <c r="F10" s="4" t="s">
        <v>122</v>
      </c>
    </row>
    <row r="11" customFormat="false" ht="15" hidden="false" customHeight="false" outlineLevel="0" collapsed="false">
      <c r="A11" s="4" t="s">
        <v>123</v>
      </c>
      <c r="B11" s="4" t="s">
        <v>124</v>
      </c>
      <c r="C11" s="4" t="s">
        <v>125</v>
      </c>
      <c r="D11" s="4" t="n">
        <v>2</v>
      </c>
      <c r="E11" s="4" t="s">
        <v>110</v>
      </c>
      <c r="F11" s="4" t="s">
        <v>126</v>
      </c>
    </row>
    <row r="12" customFormat="false" ht="15" hidden="false" customHeight="false" outlineLevel="0" collapsed="false">
      <c r="A12" s="4" t="s">
        <v>127</v>
      </c>
      <c r="B12" s="4" t="s">
        <v>112</v>
      </c>
      <c r="C12" s="4" t="s">
        <v>113</v>
      </c>
      <c r="D12" s="4" t="n">
        <v>1</v>
      </c>
      <c r="E12" s="4" t="s">
        <v>114</v>
      </c>
      <c r="F12" s="4"/>
    </row>
    <row r="13" customFormat="false" ht="15" hidden="false" customHeight="false" outlineLevel="0" collapsed="false">
      <c r="A13" s="4" t="s">
        <v>128</v>
      </c>
      <c r="B13" s="4" t="s">
        <v>108</v>
      </c>
      <c r="C13" s="4" t="s">
        <v>109</v>
      </c>
      <c r="D13" s="4" t="n">
        <v>2</v>
      </c>
      <c r="E13" s="4" t="s">
        <v>110</v>
      </c>
      <c r="F13" s="4"/>
    </row>
    <row r="14" customFormat="false" ht="15" hidden="false" customHeight="false" outlineLevel="0" collapsed="false">
      <c r="A14" s="4" t="s">
        <v>129</v>
      </c>
      <c r="B14" s="4" t="s">
        <v>130</v>
      </c>
      <c r="C14" s="4" t="s">
        <v>131</v>
      </c>
      <c r="D14" s="4" t="n">
        <v>5</v>
      </c>
      <c r="E14" s="4" t="s">
        <v>132</v>
      </c>
      <c r="F14" s="4" t="s">
        <v>133</v>
      </c>
    </row>
    <row r="15" customFormat="false" ht="15" hidden="false" customHeight="false" outlineLevel="0" collapsed="false">
      <c r="A15" s="4" t="s">
        <v>134</v>
      </c>
      <c r="B15" s="4" t="s">
        <v>118</v>
      </c>
      <c r="C15" s="4" t="s">
        <v>119</v>
      </c>
      <c r="D15" s="4" t="n">
        <v>2</v>
      </c>
      <c r="E15" s="4" t="s">
        <v>114</v>
      </c>
      <c r="F15" s="4"/>
    </row>
    <row r="16" customFormat="false" ht="15" hidden="false" customHeight="false" outlineLevel="0" collapsed="false">
      <c r="A16" s="4" t="s">
        <v>135</v>
      </c>
      <c r="B16" s="4" t="s">
        <v>108</v>
      </c>
      <c r="C16" s="4" t="s">
        <v>109</v>
      </c>
      <c r="D16" s="4" t="n">
        <v>3</v>
      </c>
      <c r="E16" s="4" t="s">
        <v>110</v>
      </c>
      <c r="F16" s="4"/>
    </row>
    <row r="17" customFormat="false" ht="15" hidden="false" customHeight="false" outlineLevel="0" collapsed="false">
      <c r="A17" s="4" t="s">
        <v>136</v>
      </c>
      <c r="B17" s="4" t="s">
        <v>124</v>
      </c>
      <c r="C17" s="4" t="s">
        <v>125</v>
      </c>
      <c r="D17" s="4" t="n">
        <v>1</v>
      </c>
      <c r="E17" s="4" t="s">
        <v>110</v>
      </c>
      <c r="F17" s="4"/>
    </row>
    <row r="18" customFormat="false" ht="15" hidden="false" customHeight="false" outlineLevel="0" collapsed="false">
      <c r="A18" s="4" t="s">
        <v>137</v>
      </c>
      <c r="B18" s="4" t="s">
        <v>112</v>
      </c>
      <c r="C18" s="4" t="s">
        <v>113</v>
      </c>
      <c r="D18" s="4" t="n">
        <v>2</v>
      </c>
      <c r="E18" s="4" t="s">
        <v>114</v>
      </c>
      <c r="F18" s="4" t="s">
        <v>138</v>
      </c>
    </row>
    <row r="19" customFormat="false" ht="15" hidden="false" customHeight="false" outlineLevel="0" collapsed="false">
      <c r="A19" s="4" t="s">
        <v>139</v>
      </c>
      <c r="B19" s="4" t="s">
        <v>108</v>
      </c>
      <c r="C19" s="4" t="s">
        <v>109</v>
      </c>
      <c r="D19" s="4" t="n">
        <v>2</v>
      </c>
      <c r="E19" s="4" t="s">
        <v>110</v>
      </c>
      <c r="F19" s="4"/>
    </row>
    <row r="20" customFormat="false" ht="15" hidden="false" customHeight="false" outlineLevel="0" collapsed="false">
      <c r="A20" s="4" t="s">
        <v>140</v>
      </c>
      <c r="B20" s="4" t="s">
        <v>118</v>
      </c>
      <c r="C20" s="4" t="s">
        <v>119</v>
      </c>
      <c r="D20" s="4" t="n">
        <v>1</v>
      </c>
      <c r="E20" s="4" t="s">
        <v>114</v>
      </c>
      <c r="F20" s="4"/>
    </row>
    <row r="21" customFormat="false" ht="15" hidden="false" customHeight="false" outlineLevel="0" collapsed="false">
      <c r="A21" s="4" t="s">
        <v>141</v>
      </c>
      <c r="B21" s="4" t="s">
        <v>124</v>
      </c>
      <c r="C21" s="4" t="s">
        <v>125</v>
      </c>
      <c r="D21" s="4" t="n">
        <v>1</v>
      </c>
      <c r="E21" s="4" t="s">
        <v>110</v>
      </c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</row>
    <row r="47" customFormat="false" ht="15" hidden="false" customHeight="false" outlineLevel="0" collapsed="false">
      <c r="A47" s="10" t="s">
        <v>142</v>
      </c>
    </row>
  </sheetData>
  <dataValidations count="1">
    <dataValidation allowBlank="true" errorStyle="stop" operator="between" showDropDown="false" showErrorMessage="false" showInputMessage="false" sqref="E6:E45" type="list">
      <formula1>"Minor,Major,Critical"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7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10" t="s">
        <v>144</v>
      </c>
    </row>
    <row r="3" customFormat="false" ht="15" hidden="false" customHeight="false" outlineLevel="0" collapsed="false">
      <c r="C3" s="10" t="s">
        <v>145</v>
      </c>
      <c r="F3" s="8" t="s">
        <v>146</v>
      </c>
    </row>
    <row r="4" customFormat="false" ht="15" hidden="false" customHeight="false" outlineLevel="0" collapsed="false">
      <c r="A4" s="11" t="s">
        <v>147</v>
      </c>
      <c r="B4" s="11" t="s">
        <v>148</v>
      </c>
      <c r="C4" s="11" t="s">
        <v>149</v>
      </c>
      <c r="D4" s="11" t="s">
        <v>150</v>
      </c>
      <c r="F4" s="11" t="s">
        <v>151</v>
      </c>
      <c r="G4" s="11" t="s">
        <v>102</v>
      </c>
      <c r="H4" s="11" t="s">
        <v>104</v>
      </c>
      <c r="I4" s="11" t="s">
        <v>152</v>
      </c>
    </row>
    <row r="5" customFormat="false" ht="15" hidden="false" customHeight="false" outlineLevel="0" collapsed="false">
      <c r="A5" s="4" t="s">
        <v>108</v>
      </c>
      <c r="B5" s="6" t="n">
        <f aca="false">IF($A5="","",SUMIFS('NC Log'!$D$6:$D$45,'NC Log'!$B$6:$B$45,$A5))</f>
        <v>16</v>
      </c>
      <c r="C5" s="5" t="n">
        <f aca="false">IF(ISNUMBER($B5),$B5+(100-ROW())/100000,"")</f>
        <v>16.00095</v>
      </c>
      <c r="D5" s="5" t="n">
        <f aca="false">IF(ISNUMBER($C5),RANK($C5,$C$5:$C$16),"")</f>
        <v>1</v>
      </c>
      <c r="F5" s="9" t="n">
        <v>1</v>
      </c>
      <c r="G5" s="5" t="str">
        <f aca="false">IF(COUNTIF($D$5:$D$16,$F5)=0,"",INDEX($A$5:$A$16,MATCH($F5,$D$5:$D$16,0)))</f>
        <v>SCRATCH</v>
      </c>
      <c r="H5" s="5" t="n">
        <f aca="false">IF(COUNTIF($D$5:$D$16,$F5)=0,"",INDEX($B$5:$B$16,MATCH($F5,$D$5:$D$16,0)))</f>
        <v>16</v>
      </c>
      <c r="I5" s="14" t="n">
        <f aca="false">IF(ISNUMBER($H5),SUM($H$5:$H5)/SUM($H$5:$H$16),"")</f>
        <v>0.484848484848485</v>
      </c>
    </row>
    <row r="6" customFormat="false" ht="15" hidden="false" customHeight="false" outlineLevel="0" collapsed="false">
      <c r="A6" s="4" t="s">
        <v>112</v>
      </c>
      <c r="B6" s="6" t="n">
        <f aca="false">IF($A6="","",SUMIFS('NC Log'!$D$6:$D$45,'NC Log'!$B$6:$B$45,$A6))</f>
        <v>4</v>
      </c>
      <c r="C6" s="5" t="n">
        <f aca="false">IF(ISNUMBER($B6),$B6+(100-ROW())/100000,"")</f>
        <v>4.00094</v>
      </c>
      <c r="D6" s="5" t="n">
        <f aca="false">IF(ISNUMBER($C6),RANK($C6,$C$5:$C$16),"")</f>
        <v>3</v>
      </c>
      <c r="F6" s="9" t="n">
        <v>2</v>
      </c>
      <c r="G6" s="5" t="str">
        <f aca="false">IF(COUNTIF($D$5:$D$16,$F6)=0,"",INDEX($A$5:$A$16,MATCH($F6,$D$5:$D$16,0)))</f>
        <v>WRONG-LABEL</v>
      </c>
      <c r="H6" s="5" t="n">
        <f aca="false">IF(COUNTIF($D$5:$D$16,$F6)=0,"",INDEX($B$5:$B$16,MATCH($F6,$D$5:$D$16,0)))</f>
        <v>5</v>
      </c>
      <c r="I6" s="14" t="n">
        <f aca="false">IF(ISNUMBER($H6),SUM($H$5:$H6)/SUM($H$5:$H$16),"")</f>
        <v>0.636363636363636</v>
      </c>
    </row>
    <row r="7" customFormat="false" ht="15" hidden="false" customHeight="false" outlineLevel="0" collapsed="false">
      <c r="A7" s="4" t="s">
        <v>118</v>
      </c>
      <c r="B7" s="6" t="n">
        <f aca="false">IF($A7="","",SUMIFS('NC Log'!$D$6:$D$45,'NC Log'!$B$6:$B$45,$A7))</f>
        <v>4</v>
      </c>
      <c r="C7" s="5" t="n">
        <f aca="false">IF(ISNUMBER($B7),$B7+(100-ROW())/100000,"")</f>
        <v>4.00093</v>
      </c>
      <c r="D7" s="5" t="n">
        <f aca="false">IF(ISNUMBER($C7),RANK($C7,$C$5:$C$16),"")</f>
        <v>4</v>
      </c>
      <c r="F7" s="9" t="n">
        <v>3</v>
      </c>
      <c r="G7" s="5" t="str">
        <f aca="false">IF(COUNTIF($D$5:$D$16,$F7)=0,"",INDEX($A$5:$A$16,MATCH($F7,$D$5:$D$16,0)))</f>
        <v>LEAK-01</v>
      </c>
      <c r="H7" s="5" t="n">
        <f aca="false">IF(COUNTIF($D$5:$D$16,$F7)=0,"",INDEX($B$5:$B$16,MATCH($F7,$D$5:$D$16,0)))</f>
        <v>4</v>
      </c>
      <c r="I7" s="14" t="n">
        <f aca="false">IF(ISNUMBER($H7),SUM($H$5:$H7)/SUM($H$5:$H$16),"")</f>
        <v>0.757575757575758</v>
      </c>
    </row>
    <row r="8" customFormat="false" ht="15" hidden="false" customHeight="false" outlineLevel="0" collapsed="false">
      <c r="A8" s="4" t="s">
        <v>124</v>
      </c>
      <c r="B8" s="6" t="n">
        <f aca="false">IF($A8="","",SUMIFS('NC Log'!$D$6:$D$45,'NC Log'!$B$6:$B$45,$A8))</f>
        <v>4</v>
      </c>
      <c r="C8" s="5" t="n">
        <f aca="false">IF(ISNUMBER($B8),$B8+(100-ROW())/100000,"")</f>
        <v>4.00092</v>
      </c>
      <c r="D8" s="5" t="n">
        <f aca="false">IF(ISNUMBER($C8),RANK($C8,$C$5:$C$16),"")</f>
        <v>5</v>
      </c>
      <c r="F8" s="9" t="n">
        <v>4</v>
      </c>
      <c r="G8" s="5" t="str">
        <f aca="false">IF(COUNTIF($D$5:$D$16,$F8)=0,"",INDEX($A$5:$A$16,MATCH($F8,$D$5:$D$16,0)))</f>
        <v>MISALIGN</v>
      </c>
      <c r="H8" s="5" t="n">
        <f aca="false">IF(COUNTIF($D$5:$D$16,$F8)=0,"",INDEX($B$5:$B$16,MATCH($F8,$D$5:$D$16,0)))</f>
        <v>4</v>
      </c>
      <c r="I8" s="14" t="n">
        <f aca="false">IF(ISNUMBER($H8),SUM($H$5:$H8)/SUM($H$5:$H$16),"")</f>
        <v>0.878787878787879</v>
      </c>
    </row>
    <row r="9" customFormat="false" ht="15" hidden="false" customHeight="false" outlineLevel="0" collapsed="false">
      <c r="A9" s="4" t="s">
        <v>130</v>
      </c>
      <c r="B9" s="6" t="n">
        <f aca="false">IF($A9="","",SUMIFS('NC Log'!$D$6:$D$45,'NC Log'!$B$6:$B$45,$A9))</f>
        <v>5</v>
      </c>
      <c r="C9" s="5" t="n">
        <f aca="false">IF(ISNUMBER($B9),$B9+(100-ROW())/100000,"")</f>
        <v>5.00091</v>
      </c>
      <c r="D9" s="5" t="n">
        <f aca="false">IF(ISNUMBER($C9),RANK($C9,$C$5:$C$16),"")</f>
        <v>2</v>
      </c>
      <c r="F9" s="9" t="n">
        <v>5</v>
      </c>
      <c r="G9" s="5" t="str">
        <f aca="false">IF(COUNTIF($D$5:$D$16,$F9)=0,"",INDEX($A$5:$A$16,MATCH($F9,$D$5:$D$16,0)))</f>
        <v>DENT</v>
      </c>
      <c r="H9" s="5" t="n">
        <f aca="false">IF(COUNTIF($D$5:$D$16,$F9)=0,"",INDEX($B$5:$B$16,MATCH($F9,$D$5:$D$16,0)))</f>
        <v>4</v>
      </c>
      <c r="I9" s="14" t="n">
        <f aca="false">IF(ISNUMBER($H9),SUM($H$5:$H9)/SUM($H$5:$H$16),"")</f>
        <v>1</v>
      </c>
    </row>
    <row r="10" customFormat="false" ht="15" hidden="false" customHeight="false" outlineLevel="0" collapsed="false">
      <c r="A10" s="4"/>
      <c r="B10" s="6" t="str">
        <f aca="false">IF($A10="","",SUMIFS('NC Log'!$D$6:$D$45,'NC Log'!$B$6:$B$45,$A10))</f>
        <v/>
      </c>
      <c r="C10" s="5" t="str">
        <f aca="false">IF(ISNUMBER($B10),$B10+(100-ROW())/100000,"")</f>
        <v/>
      </c>
      <c r="D10" s="5" t="str">
        <f aca="false">IF(ISNUMBER($C10),RANK($C10,$C$5:$C$16),"")</f>
        <v/>
      </c>
      <c r="F10" s="9" t="n">
        <v>6</v>
      </c>
      <c r="G10" s="5" t="str">
        <f aca="false">IF(COUNTIF($D$5:$D$16,$F10)=0,"",INDEX($A$5:$A$16,MATCH($F10,$D$5:$D$16,0)))</f>
        <v/>
      </c>
      <c r="H10" s="5" t="str">
        <f aca="false">IF(COUNTIF($D$5:$D$16,$F10)=0,"",INDEX($B$5:$B$16,MATCH($F10,$D$5:$D$16,0)))</f>
        <v/>
      </c>
      <c r="I10" s="14" t="str">
        <f aca="false">IF(ISNUMBER($H10),SUM($H$5:$H10)/SUM($H$5:$H$16),"")</f>
        <v/>
      </c>
    </row>
    <row r="11" customFormat="false" ht="15" hidden="false" customHeight="false" outlineLevel="0" collapsed="false">
      <c r="A11" s="4"/>
      <c r="B11" s="6" t="str">
        <f aca="false">IF($A11="","",SUMIFS('NC Log'!$D$6:$D$45,'NC Log'!$B$6:$B$45,$A11))</f>
        <v/>
      </c>
      <c r="C11" s="5" t="str">
        <f aca="false">IF(ISNUMBER($B11),$B11+(100-ROW())/100000,"")</f>
        <v/>
      </c>
      <c r="D11" s="5" t="str">
        <f aca="false">IF(ISNUMBER($C11),RANK($C11,$C$5:$C$16),"")</f>
        <v/>
      </c>
      <c r="F11" s="9" t="n">
        <v>7</v>
      </c>
      <c r="G11" s="5" t="str">
        <f aca="false">IF(COUNTIF($D$5:$D$16,$F11)=0,"",INDEX($A$5:$A$16,MATCH($F11,$D$5:$D$16,0)))</f>
        <v/>
      </c>
      <c r="H11" s="5" t="str">
        <f aca="false">IF(COUNTIF($D$5:$D$16,$F11)=0,"",INDEX($B$5:$B$16,MATCH($F11,$D$5:$D$16,0)))</f>
        <v/>
      </c>
      <c r="I11" s="14" t="str">
        <f aca="false">IF(ISNUMBER($H11),SUM($H$5:$H11)/SUM($H$5:$H$16),"")</f>
        <v/>
      </c>
    </row>
    <row r="12" customFormat="false" ht="15" hidden="false" customHeight="false" outlineLevel="0" collapsed="false">
      <c r="A12" s="4"/>
      <c r="B12" s="6" t="str">
        <f aca="false">IF($A12="","",SUMIFS('NC Log'!$D$6:$D$45,'NC Log'!$B$6:$B$45,$A12))</f>
        <v/>
      </c>
      <c r="C12" s="5" t="str">
        <f aca="false">IF(ISNUMBER($B12),$B12+(100-ROW())/100000,"")</f>
        <v/>
      </c>
      <c r="D12" s="5" t="str">
        <f aca="false">IF(ISNUMBER($C12),RANK($C12,$C$5:$C$16),"")</f>
        <v/>
      </c>
      <c r="F12" s="9" t="n">
        <v>8</v>
      </c>
      <c r="G12" s="5" t="str">
        <f aca="false">IF(COUNTIF($D$5:$D$16,$F12)=0,"",INDEX($A$5:$A$16,MATCH($F12,$D$5:$D$16,0)))</f>
        <v/>
      </c>
      <c r="H12" s="5" t="str">
        <f aca="false">IF(COUNTIF($D$5:$D$16,$F12)=0,"",INDEX($B$5:$B$16,MATCH($F12,$D$5:$D$16,0)))</f>
        <v/>
      </c>
      <c r="I12" s="14" t="str">
        <f aca="false">IF(ISNUMBER($H12),SUM($H$5:$H12)/SUM($H$5:$H$16),"")</f>
        <v/>
      </c>
    </row>
    <row r="13" customFormat="false" ht="15" hidden="false" customHeight="false" outlineLevel="0" collapsed="false">
      <c r="A13" s="4"/>
      <c r="B13" s="6" t="str">
        <f aca="false">IF($A13="","",SUMIFS('NC Log'!$D$6:$D$45,'NC Log'!$B$6:$B$45,$A13))</f>
        <v/>
      </c>
      <c r="C13" s="5" t="str">
        <f aca="false">IF(ISNUMBER($B13),$B13+(100-ROW())/100000,"")</f>
        <v/>
      </c>
      <c r="D13" s="5" t="str">
        <f aca="false">IF(ISNUMBER($C13),RANK($C13,$C$5:$C$16),"")</f>
        <v/>
      </c>
      <c r="F13" s="9" t="n">
        <v>9</v>
      </c>
      <c r="G13" s="5" t="str">
        <f aca="false">IF(COUNTIF($D$5:$D$16,$F13)=0,"",INDEX($A$5:$A$16,MATCH($F13,$D$5:$D$16,0)))</f>
        <v/>
      </c>
      <c r="H13" s="5" t="str">
        <f aca="false">IF(COUNTIF($D$5:$D$16,$F13)=0,"",INDEX($B$5:$B$16,MATCH($F13,$D$5:$D$16,0)))</f>
        <v/>
      </c>
      <c r="I13" s="14" t="str">
        <f aca="false">IF(ISNUMBER($H13),SUM($H$5:$H13)/SUM($H$5:$H$16),"")</f>
        <v/>
      </c>
    </row>
    <row r="14" customFormat="false" ht="15" hidden="false" customHeight="false" outlineLevel="0" collapsed="false">
      <c r="A14" s="4"/>
      <c r="B14" s="6" t="str">
        <f aca="false">IF($A14="","",SUMIFS('NC Log'!$D$6:$D$45,'NC Log'!$B$6:$B$45,$A14))</f>
        <v/>
      </c>
      <c r="C14" s="5" t="str">
        <f aca="false">IF(ISNUMBER($B14),$B14+(100-ROW())/100000,"")</f>
        <v/>
      </c>
      <c r="D14" s="5" t="str">
        <f aca="false">IF(ISNUMBER($C14),RANK($C14,$C$5:$C$16),"")</f>
        <v/>
      </c>
      <c r="F14" s="9" t="n">
        <v>10</v>
      </c>
      <c r="G14" s="5" t="str">
        <f aca="false">IF(COUNTIF($D$5:$D$16,$F14)=0,"",INDEX($A$5:$A$16,MATCH($F14,$D$5:$D$16,0)))</f>
        <v/>
      </c>
      <c r="H14" s="5" t="str">
        <f aca="false">IF(COUNTIF($D$5:$D$16,$F14)=0,"",INDEX($B$5:$B$16,MATCH($F14,$D$5:$D$16,0)))</f>
        <v/>
      </c>
      <c r="I14" s="14" t="str">
        <f aca="false">IF(ISNUMBER($H14),SUM($H$5:$H14)/SUM($H$5:$H$16),"")</f>
        <v/>
      </c>
    </row>
    <row r="15" customFormat="false" ht="15" hidden="false" customHeight="false" outlineLevel="0" collapsed="false">
      <c r="A15" s="4"/>
      <c r="B15" s="6" t="str">
        <f aca="false">IF($A15="","",SUMIFS('NC Log'!$D$6:$D$45,'NC Log'!$B$6:$B$45,$A15))</f>
        <v/>
      </c>
      <c r="C15" s="5" t="str">
        <f aca="false">IF(ISNUMBER($B15),$B15+(100-ROW())/100000,"")</f>
        <v/>
      </c>
      <c r="D15" s="5" t="str">
        <f aca="false">IF(ISNUMBER($C15),RANK($C15,$C$5:$C$16),"")</f>
        <v/>
      </c>
      <c r="F15" s="9" t="n">
        <v>11</v>
      </c>
      <c r="G15" s="5" t="str">
        <f aca="false">IF(COUNTIF($D$5:$D$16,$F15)=0,"",INDEX($A$5:$A$16,MATCH($F15,$D$5:$D$16,0)))</f>
        <v/>
      </c>
      <c r="H15" s="5" t="str">
        <f aca="false">IF(COUNTIF($D$5:$D$16,$F15)=0,"",INDEX($B$5:$B$16,MATCH($F15,$D$5:$D$16,0)))</f>
        <v/>
      </c>
      <c r="I15" s="14" t="str">
        <f aca="false">IF(ISNUMBER($H15),SUM($H$5:$H15)/SUM($H$5:$H$16),"")</f>
        <v/>
      </c>
    </row>
    <row r="16" customFormat="false" ht="15" hidden="false" customHeight="false" outlineLevel="0" collapsed="false">
      <c r="A16" s="4"/>
      <c r="B16" s="6" t="str">
        <f aca="false">IF($A16="","",SUMIFS('NC Log'!$D$6:$D$45,'NC Log'!$B$6:$B$45,$A16))</f>
        <v/>
      </c>
      <c r="C16" s="5" t="str">
        <f aca="false">IF(ISNUMBER($B16),$B16+(100-ROW())/100000,"")</f>
        <v/>
      </c>
      <c r="D16" s="5" t="str">
        <f aca="false">IF(ISNUMBER($C16),RANK($C16,$C$5:$C$16),"")</f>
        <v/>
      </c>
      <c r="F16" s="9" t="n">
        <v>12</v>
      </c>
      <c r="G16" s="5" t="str">
        <f aca="false">IF(COUNTIF($D$5:$D$16,$F16)=0,"",INDEX($A$5:$A$16,MATCH($F16,$D$5:$D$16,0)))</f>
        <v/>
      </c>
      <c r="H16" s="5" t="str">
        <f aca="false">IF(COUNTIF($D$5:$D$16,$F16)=0,"",INDEX($B$5:$B$16,MATCH($F16,$D$5:$D$16,0)))</f>
        <v/>
      </c>
      <c r="I16" s="14" t="str">
        <f aca="false">IF(ISNUMBER($H16),SUM($H$5:$H16)/SUM($H$5:$H$16),"")</f>
        <v/>
      </c>
    </row>
    <row r="18" customFormat="false" ht="15" hidden="false" customHeight="false" outlineLevel="0" collapsed="false">
      <c r="A18" s="1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0"/>
    <col collapsed="false" customWidth="true" hidden="false" outlineLevel="0" max="7" min="5" style="0" width="4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6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5" min="15" style="0" width="4"/>
    <col collapsed="false" customWidth="true" hidden="false" outlineLevel="0" max="16" min="16" style="0" width="22"/>
    <col collapsed="false" customWidth="true" hidden="false" outlineLevel="0" max="17" min="17" style="0" width="7"/>
  </cols>
  <sheetData>
    <row r="1" customFormat="false" ht="17.35" hidden="false" customHeight="false" outlineLevel="0" collapsed="false">
      <c r="A1" s="1" t="s">
        <v>154</v>
      </c>
    </row>
    <row r="3" customFormat="false" ht="15" hidden="false" customHeight="false" outlineLevel="0" collapsed="false">
      <c r="A3" s="9" t="s">
        <v>155</v>
      </c>
      <c r="C3" s="6" t="n">
        <f aca="false">Setup!$B$15</f>
        <v>100</v>
      </c>
      <c r="O3" s="8" t="s">
        <v>156</v>
      </c>
    </row>
    <row r="5" customFormat="false" ht="15" hidden="false" customHeight="false" outlineLevel="0" collapsed="false">
      <c r="A5" s="11" t="s">
        <v>157</v>
      </c>
      <c r="B5" s="11" t="s">
        <v>158</v>
      </c>
      <c r="C5" s="11" t="s">
        <v>159</v>
      </c>
      <c r="D5" s="11" t="s">
        <v>160</v>
      </c>
      <c r="E5" s="11" t="s">
        <v>161</v>
      </c>
      <c r="F5" s="11" t="s">
        <v>162</v>
      </c>
      <c r="G5" s="11" t="s">
        <v>163</v>
      </c>
      <c r="H5" s="11" t="s">
        <v>164</v>
      </c>
      <c r="I5" s="11" t="s">
        <v>165</v>
      </c>
      <c r="J5" s="11" t="s">
        <v>149</v>
      </c>
      <c r="K5" s="11" t="s">
        <v>150</v>
      </c>
      <c r="L5" s="11" t="s">
        <v>166</v>
      </c>
      <c r="M5" s="11" t="s">
        <v>167</v>
      </c>
      <c r="O5" s="11" t="s">
        <v>151</v>
      </c>
      <c r="P5" s="11" t="s">
        <v>158</v>
      </c>
      <c r="Q5" s="11" t="s">
        <v>164</v>
      </c>
    </row>
    <row r="6" customFormat="false" ht="15" hidden="false" customHeight="false" outlineLevel="0" collapsed="false">
      <c r="A6" s="4" t="s">
        <v>168</v>
      </c>
      <c r="B6" s="4" t="s">
        <v>169</v>
      </c>
      <c r="C6" s="4" t="s">
        <v>170</v>
      </c>
      <c r="D6" s="4" t="s">
        <v>171</v>
      </c>
      <c r="E6" s="4" t="n">
        <v>8</v>
      </c>
      <c r="F6" s="4" t="n">
        <v>5</v>
      </c>
      <c r="G6" s="4" t="n">
        <v>4</v>
      </c>
      <c r="H6" s="5" t="n">
        <f aca="false">IF(COUNT($E6:$G6)&lt;3,"",$E6*$F6*$G6)</f>
        <v>160</v>
      </c>
      <c r="I6" s="5" t="str">
        <f aca="false">IF(ISNUMBER($H6),IF($H6&gt;=$C$3,"ACTION",""),"")</f>
        <v>ACTION</v>
      </c>
      <c r="J6" s="5" t="n">
        <f aca="false">IF(ISNUMBER($H6),$H6+(100-ROW())/100000,"")</f>
        <v>160.00094</v>
      </c>
      <c r="K6" s="5" t="n">
        <f aca="false">IF(ISNUMBER($J6),RANK($J6,$J$6:$J$25),"")</f>
        <v>1</v>
      </c>
      <c r="L6" s="4" t="s">
        <v>172</v>
      </c>
      <c r="M6" s="4" t="s">
        <v>173</v>
      </c>
      <c r="O6" s="9" t="n">
        <v>1</v>
      </c>
      <c r="P6" s="5" t="str">
        <f aca="false">IF(COUNTIF($K$6:$K$25,$O6)=0,"",INDEX($B$6:$B$25,MATCH($O6,$K$6:$K$25,0)))</f>
        <v>Cold weld</v>
      </c>
      <c r="Q6" s="5" t="n">
        <f aca="false">IF(COUNTIF($K$6:$K$25,$O6)=0,"",INDEX($H$6:$H$25,MATCH($O6,$K$6:$K$25,0)))</f>
        <v>160</v>
      </c>
    </row>
    <row r="7" customFormat="false" ht="15" hidden="false" customHeight="false" outlineLevel="0" collapsed="false">
      <c r="A7" s="4" t="s">
        <v>174</v>
      </c>
      <c r="B7" s="4" t="s">
        <v>175</v>
      </c>
      <c r="C7" s="4" t="s">
        <v>176</v>
      </c>
      <c r="D7" s="4" t="s">
        <v>177</v>
      </c>
      <c r="E7" s="4" t="n">
        <v>6</v>
      </c>
      <c r="F7" s="4" t="n">
        <v>4</v>
      </c>
      <c r="G7" s="4" t="n">
        <v>3</v>
      </c>
      <c r="H7" s="5" t="n">
        <f aca="false">IF(COUNT($E7:$G7)&lt;3,"",$E7*$F7*$G7)</f>
        <v>72</v>
      </c>
      <c r="I7" s="5" t="str">
        <f aca="false">IF(ISNUMBER($H7),IF($H7&gt;=$C$3,"ACTION",""),"")</f>
        <v/>
      </c>
      <c r="J7" s="5" t="n">
        <f aca="false">IF(ISNUMBER($H7),$H7+(100-ROW())/100000,"")</f>
        <v>72.00093</v>
      </c>
      <c r="K7" s="5" t="n">
        <f aca="false">IF(ISNUMBER($J7),RANK($J7,$J$6:$J$25),"")</f>
        <v>4</v>
      </c>
      <c r="L7" s="4" t="s">
        <v>178</v>
      </c>
      <c r="M7" s="4" t="s">
        <v>173</v>
      </c>
      <c r="O7" s="9" t="n">
        <v>2</v>
      </c>
      <c r="P7" s="5" t="str">
        <f aca="false">IF(COUNTIF($K$6:$K$25,$O7)=0,"",INDEX($B$6:$B$25,MATCH($O7,$K$6:$K$25,0)))</f>
        <v>Leak undetected</v>
      </c>
      <c r="Q7" s="5" t="n">
        <f aca="false">IF(COUNTIF($K$6:$K$25,$O7)=0,"",INDEX($H$6:$H$25,MATCH($O7,$K$6:$K$25,0)))</f>
        <v>108</v>
      </c>
    </row>
    <row r="8" customFormat="false" ht="15" hidden="false" customHeight="false" outlineLevel="0" collapsed="false">
      <c r="A8" s="4" t="s">
        <v>131</v>
      </c>
      <c r="B8" s="4" t="s">
        <v>179</v>
      </c>
      <c r="C8" s="4" t="s">
        <v>180</v>
      </c>
      <c r="D8" s="4" t="s">
        <v>181</v>
      </c>
      <c r="E8" s="4" t="n">
        <v>9</v>
      </c>
      <c r="F8" s="4" t="n">
        <v>3</v>
      </c>
      <c r="G8" s="4" t="n">
        <v>2</v>
      </c>
      <c r="H8" s="5" t="n">
        <f aca="false">IF(COUNT($E8:$G8)&lt;3,"",$E8*$F8*$G8)</f>
        <v>54</v>
      </c>
      <c r="I8" s="5" t="str">
        <f aca="false">IF(ISNUMBER($H8),IF($H8&gt;=$C$3,"ACTION",""),"")</f>
        <v/>
      </c>
      <c r="J8" s="5" t="n">
        <f aca="false">IF(ISNUMBER($H8),$H8+(100-ROW())/100000,"")</f>
        <v>54.00092</v>
      </c>
      <c r="K8" s="5" t="n">
        <f aca="false">IF(ISNUMBER($J8),RANK($J8,$J$6:$J$25),"")</f>
        <v>5</v>
      </c>
      <c r="L8" s="4" t="s">
        <v>182</v>
      </c>
      <c r="M8" s="4" t="s">
        <v>183</v>
      </c>
      <c r="O8" s="9" t="n">
        <v>3</v>
      </c>
      <c r="P8" s="5" t="str">
        <f aca="false">IF(COUNTIF($K$6:$K$25,$O8)=0,"",INDEX($B$6:$B$25,MATCH($O8,$K$6:$K$25,0)))</f>
        <v>Damaged housing accepted</v>
      </c>
      <c r="Q8" s="5" t="n">
        <f aca="false">IF(COUNTIF($K$6:$K$25,$O8)=0,"",INDEX($H$6:$H$25,MATCH($O8,$K$6:$K$25,0)))</f>
        <v>80</v>
      </c>
    </row>
    <row r="9" customFormat="false" ht="15" hidden="false" customHeight="false" outlineLevel="0" collapsed="false">
      <c r="A9" s="4" t="s">
        <v>184</v>
      </c>
      <c r="B9" s="4" t="s">
        <v>185</v>
      </c>
      <c r="C9" s="4" t="s">
        <v>186</v>
      </c>
      <c r="D9" s="4" t="s">
        <v>187</v>
      </c>
      <c r="E9" s="4" t="n">
        <v>9</v>
      </c>
      <c r="F9" s="4" t="n">
        <v>2</v>
      </c>
      <c r="G9" s="4" t="n">
        <v>6</v>
      </c>
      <c r="H9" s="5" t="n">
        <f aca="false">IF(COUNT($E9:$G9)&lt;3,"",$E9*$F9*$G9)</f>
        <v>108</v>
      </c>
      <c r="I9" s="5" t="str">
        <f aca="false">IF(ISNUMBER($H9),IF($H9&gt;=$C$3,"ACTION",""),"")</f>
        <v>ACTION</v>
      </c>
      <c r="J9" s="5" t="n">
        <f aca="false">IF(ISNUMBER($H9),$H9+(100-ROW())/100000,"")</f>
        <v>108.00091</v>
      </c>
      <c r="K9" s="5" t="n">
        <f aca="false">IF(ISNUMBER($J9),RANK($J9,$J$6:$J$25),"")</f>
        <v>2</v>
      </c>
      <c r="L9" s="4" t="s">
        <v>188</v>
      </c>
      <c r="M9" s="4" t="s">
        <v>173</v>
      </c>
      <c r="O9" s="9" t="n">
        <v>4</v>
      </c>
      <c r="P9" s="5" t="str">
        <f aca="false">IF(COUNTIF($K$6:$K$25,$O9)=0,"",INDEX($B$6:$B$25,MATCH($O9,$K$6:$K$25,0)))</f>
        <v>Missing clip</v>
      </c>
      <c r="Q9" s="5" t="n">
        <f aca="false">IF(COUNTIF($K$6:$K$25,$O9)=0,"",INDEX($H$6:$H$25,MATCH($O9,$K$6:$K$25,0)))</f>
        <v>72</v>
      </c>
    </row>
    <row r="10" customFormat="false" ht="15" hidden="false" customHeight="false" outlineLevel="0" collapsed="false">
      <c r="A10" s="4" t="s">
        <v>125</v>
      </c>
      <c r="B10" s="4" t="s">
        <v>189</v>
      </c>
      <c r="C10" s="4" t="s">
        <v>190</v>
      </c>
      <c r="D10" s="4" t="s">
        <v>191</v>
      </c>
      <c r="E10" s="4" t="n">
        <v>5</v>
      </c>
      <c r="F10" s="4" t="n">
        <v>4</v>
      </c>
      <c r="G10" s="4" t="n">
        <v>4</v>
      </c>
      <c r="H10" s="5" t="n">
        <f aca="false">IF(COUNT($E10:$G10)&lt;3,"",$E10*$F10*$G10)</f>
        <v>80</v>
      </c>
      <c r="I10" s="5" t="str">
        <f aca="false">IF(ISNUMBER($H10),IF($H10&gt;=$C$3,"ACTION",""),"")</f>
        <v/>
      </c>
      <c r="J10" s="5" t="n">
        <f aca="false">IF(ISNUMBER($H10),$H10+(100-ROW())/100000,"")</f>
        <v>80.0009</v>
      </c>
      <c r="K10" s="5" t="n">
        <f aca="false">IF(ISNUMBER($J10),RANK($J10,$J$6:$J$25),"")</f>
        <v>3</v>
      </c>
      <c r="L10" s="4" t="s">
        <v>192</v>
      </c>
      <c r="M10" s="4" t="s">
        <v>193</v>
      </c>
      <c r="O10" s="9" t="n">
        <v>5</v>
      </c>
      <c r="P10" s="5" t="str">
        <f aca="false">IF(COUNTIF($K$6:$K$25,$O10)=0,"",INDEX($B$6:$B$25,MATCH($O10,$K$6:$K$25,0)))</f>
        <v>Wrong label</v>
      </c>
      <c r="Q10" s="5" t="n">
        <f aca="false">IF(COUNTIF($K$6:$K$25,$O10)=0,"",INDEX($H$6:$H$25,MATCH($O10,$K$6:$K$25,0)))</f>
        <v>54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5" t="str">
        <f aca="false">IF(COUNT($E11:$G11)&lt;3,"",$E11*$F11*$G11)</f>
        <v/>
      </c>
      <c r="I11" s="5" t="str">
        <f aca="false">IF(ISNUMBER($H11),IF($H11&gt;=$C$3,"ACTION",""),"")</f>
        <v/>
      </c>
      <c r="J11" s="5" t="str">
        <f aca="false">IF(ISNUMBER($H11),$H11+(100-ROW())/100000,"")</f>
        <v/>
      </c>
      <c r="K11" s="5" t="str">
        <f aca="false">IF(ISNUMBER($J11),RANK($J11,$J$6:$J$25),"")</f>
        <v/>
      </c>
      <c r="L11" s="4"/>
      <c r="M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5" t="str">
        <f aca="false">IF(COUNT($E12:$G12)&lt;3,"",$E12*$F12*$G12)</f>
        <v/>
      </c>
      <c r="I12" s="5" t="str">
        <f aca="false">IF(ISNUMBER($H12),IF($H12&gt;=$C$3,"ACTION",""),"")</f>
        <v/>
      </c>
      <c r="J12" s="5" t="str">
        <f aca="false">IF(ISNUMBER($H12),$H12+(100-ROW())/100000,"")</f>
        <v/>
      </c>
      <c r="K12" s="5" t="str">
        <f aca="false">IF(ISNUMBER($J12),RANK($J12,$J$6:$J$25),"")</f>
        <v/>
      </c>
      <c r="L12" s="4"/>
      <c r="M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5" t="str">
        <f aca="false">IF(COUNT($E13:$G13)&lt;3,"",$E13*$F13*$G13)</f>
        <v/>
      </c>
      <c r="I13" s="5" t="str">
        <f aca="false">IF(ISNUMBER($H13),IF($H13&gt;=$C$3,"ACTION",""),"")</f>
        <v/>
      </c>
      <c r="J13" s="5" t="str">
        <f aca="false">IF(ISNUMBER($H13),$H13+(100-ROW())/100000,"")</f>
        <v/>
      </c>
      <c r="K13" s="5" t="str">
        <f aca="false">IF(ISNUMBER($J13),RANK($J13,$J$6:$J$25),"")</f>
        <v/>
      </c>
      <c r="L13" s="4"/>
      <c r="M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5" t="str">
        <f aca="false">IF(COUNT($E14:$G14)&lt;3,"",$E14*$F14*$G14)</f>
        <v/>
      </c>
      <c r="I14" s="5" t="str">
        <f aca="false">IF(ISNUMBER($H14),IF($H14&gt;=$C$3,"ACTION",""),"")</f>
        <v/>
      </c>
      <c r="J14" s="5" t="str">
        <f aca="false">IF(ISNUMBER($H14),$H14+(100-ROW())/100000,"")</f>
        <v/>
      </c>
      <c r="K14" s="5" t="str">
        <f aca="false">IF(ISNUMBER($J14),RANK($J14,$J$6:$J$25),"")</f>
        <v/>
      </c>
      <c r="L14" s="4"/>
      <c r="M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5" t="str">
        <f aca="false">IF(COUNT($E15:$G15)&lt;3,"",$E15*$F15*$G15)</f>
        <v/>
      </c>
      <c r="I15" s="5" t="str">
        <f aca="false">IF(ISNUMBER($H15),IF($H15&gt;=$C$3,"ACTION",""),"")</f>
        <v/>
      </c>
      <c r="J15" s="5" t="str">
        <f aca="false">IF(ISNUMBER($H15),$H15+(100-ROW())/100000,"")</f>
        <v/>
      </c>
      <c r="K15" s="5" t="str">
        <f aca="false">IF(ISNUMBER($J15),RANK($J15,$J$6:$J$25),"")</f>
        <v/>
      </c>
      <c r="L15" s="4"/>
      <c r="M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5" t="str">
        <f aca="false">IF(COUNT($E16:$G16)&lt;3,"",$E16*$F16*$G16)</f>
        <v/>
      </c>
      <c r="I16" s="5" t="str">
        <f aca="false">IF(ISNUMBER($H16),IF($H16&gt;=$C$3,"ACTION",""),"")</f>
        <v/>
      </c>
      <c r="J16" s="5" t="str">
        <f aca="false">IF(ISNUMBER($H16),$H16+(100-ROW())/100000,"")</f>
        <v/>
      </c>
      <c r="K16" s="5" t="str">
        <f aca="false">IF(ISNUMBER($J16),RANK($J16,$J$6:$J$25),"")</f>
        <v/>
      </c>
      <c r="L16" s="4"/>
      <c r="M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5" t="str">
        <f aca="false">IF(COUNT($E17:$G17)&lt;3,"",$E17*$F17*$G17)</f>
        <v/>
      </c>
      <c r="I17" s="5" t="str">
        <f aca="false">IF(ISNUMBER($H17),IF($H17&gt;=$C$3,"ACTION",""),"")</f>
        <v/>
      </c>
      <c r="J17" s="5" t="str">
        <f aca="false">IF(ISNUMBER($H17),$H17+(100-ROW())/100000,"")</f>
        <v/>
      </c>
      <c r="K17" s="5" t="str">
        <f aca="false">IF(ISNUMBER($J17),RANK($J17,$J$6:$J$25),"")</f>
        <v/>
      </c>
      <c r="L17" s="4"/>
      <c r="M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5" t="str">
        <f aca="false">IF(COUNT($E18:$G18)&lt;3,"",$E18*$F18*$G18)</f>
        <v/>
      </c>
      <c r="I18" s="5" t="str">
        <f aca="false">IF(ISNUMBER($H18),IF($H18&gt;=$C$3,"ACTION",""),"")</f>
        <v/>
      </c>
      <c r="J18" s="5" t="str">
        <f aca="false">IF(ISNUMBER($H18),$H18+(100-ROW())/100000,"")</f>
        <v/>
      </c>
      <c r="K18" s="5" t="str">
        <f aca="false">IF(ISNUMBER($J18),RANK($J18,$J$6:$J$25),"")</f>
        <v/>
      </c>
      <c r="L18" s="4"/>
      <c r="M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5" t="str">
        <f aca="false">IF(COUNT($E19:$G19)&lt;3,"",$E19*$F19*$G19)</f>
        <v/>
      </c>
      <c r="I19" s="5" t="str">
        <f aca="false">IF(ISNUMBER($H19),IF($H19&gt;=$C$3,"ACTION",""),"")</f>
        <v/>
      </c>
      <c r="J19" s="5" t="str">
        <f aca="false">IF(ISNUMBER($H19),$H19+(100-ROW())/100000,"")</f>
        <v/>
      </c>
      <c r="K19" s="5" t="str">
        <f aca="false">IF(ISNUMBER($J19),RANK($J19,$J$6:$J$25),"")</f>
        <v/>
      </c>
      <c r="L19" s="4"/>
      <c r="M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5" t="str">
        <f aca="false">IF(COUNT($E20:$G20)&lt;3,"",$E20*$F20*$G20)</f>
        <v/>
      </c>
      <c r="I20" s="5" t="str">
        <f aca="false">IF(ISNUMBER($H20),IF($H20&gt;=$C$3,"ACTION",""),"")</f>
        <v/>
      </c>
      <c r="J20" s="5" t="str">
        <f aca="false">IF(ISNUMBER($H20),$H20+(100-ROW())/100000,"")</f>
        <v/>
      </c>
      <c r="K20" s="5" t="str">
        <f aca="false">IF(ISNUMBER($J20),RANK($J20,$J$6:$J$25),"")</f>
        <v/>
      </c>
      <c r="L20" s="4"/>
      <c r="M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5" t="str">
        <f aca="false">IF(COUNT($E21:$G21)&lt;3,"",$E21*$F21*$G21)</f>
        <v/>
      </c>
      <c r="I21" s="5" t="str">
        <f aca="false">IF(ISNUMBER($H21),IF($H21&gt;=$C$3,"ACTION",""),"")</f>
        <v/>
      </c>
      <c r="J21" s="5" t="str">
        <f aca="false">IF(ISNUMBER($H21),$H21+(100-ROW())/100000,"")</f>
        <v/>
      </c>
      <c r="K21" s="5" t="str">
        <f aca="false">IF(ISNUMBER($J21),RANK($J21,$J$6:$J$25),"")</f>
        <v/>
      </c>
      <c r="L21" s="4"/>
      <c r="M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5" t="str">
        <f aca="false">IF(COUNT($E22:$G22)&lt;3,"",$E22*$F22*$G22)</f>
        <v/>
      </c>
      <c r="I22" s="5" t="str">
        <f aca="false">IF(ISNUMBER($H22),IF($H22&gt;=$C$3,"ACTION",""),"")</f>
        <v/>
      </c>
      <c r="J22" s="5" t="str">
        <f aca="false">IF(ISNUMBER($H22),$H22+(100-ROW())/100000,"")</f>
        <v/>
      </c>
      <c r="K22" s="5" t="str">
        <f aca="false">IF(ISNUMBER($J22),RANK($J22,$J$6:$J$25),"")</f>
        <v/>
      </c>
      <c r="L22" s="4"/>
      <c r="M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5" t="str">
        <f aca="false">IF(COUNT($E23:$G23)&lt;3,"",$E23*$F23*$G23)</f>
        <v/>
      </c>
      <c r="I23" s="5" t="str">
        <f aca="false">IF(ISNUMBER($H23),IF($H23&gt;=$C$3,"ACTION",""),"")</f>
        <v/>
      </c>
      <c r="J23" s="5" t="str">
        <f aca="false">IF(ISNUMBER($H23),$H23+(100-ROW())/100000,"")</f>
        <v/>
      </c>
      <c r="K23" s="5" t="str">
        <f aca="false">IF(ISNUMBER($J23),RANK($J23,$J$6:$J$25),"")</f>
        <v/>
      </c>
      <c r="L23" s="4"/>
      <c r="M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5" t="str">
        <f aca="false">IF(COUNT($E24:$G24)&lt;3,"",$E24*$F24*$G24)</f>
        <v/>
      </c>
      <c r="I24" s="5" t="str">
        <f aca="false">IF(ISNUMBER($H24),IF($H24&gt;=$C$3,"ACTION",""),"")</f>
        <v/>
      </c>
      <c r="J24" s="5" t="str">
        <f aca="false">IF(ISNUMBER($H24),$H24+(100-ROW())/100000,"")</f>
        <v/>
      </c>
      <c r="K24" s="5" t="str">
        <f aca="false">IF(ISNUMBER($J24),RANK($J24,$J$6:$J$25),"")</f>
        <v/>
      </c>
      <c r="L24" s="4"/>
      <c r="M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5" t="str">
        <f aca="false">IF(COUNT($E25:$G25)&lt;3,"",$E25*$F25*$G25)</f>
        <v/>
      </c>
      <c r="I25" s="5" t="str">
        <f aca="false">IF(ISNUMBER($H25),IF($H25&gt;=$C$3,"ACTION",""),"")</f>
        <v/>
      </c>
      <c r="J25" s="5" t="str">
        <f aca="false">IF(ISNUMBER($H25),$H25+(100-ROW())/100000,"")</f>
        <v/>
      </c>
      <c r="K25" s="5" t="str">
        <f aca="false">IF(ISNUMBER($J25),RANK($J25,$J$6:$J$25),"")</f>
        <v/>
      </c>
      <c r="L25" s="4"/>
      <c r="M25" s="4"/>
    </row>
    <row r="27" customFormat="false" ht="15" hidden="false" customHeight="false" outlineLevel="0" collapsed="false">
      <c r="A27" s="10" t="s">
        <v>194</v>
      </c>
    </row>
  </sheetData>
  <dataValidations count="1">
    <dataValidation allowBlank="true" errorStyle="stop" operator="between" showDropDown="false" showErrorMessage="false" showInputMessage="false" sqref="M6:M25" type="list">
      <formula1>"None,Open,Done"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" t="s">
        <v>195</v>
      </c>
    </row>
    <row r="4" customFormat="false" ht="22.35" hidden="false" customHeight="false" outlineLevel="0" collapsed="false">
      <c r="A4" s="11" t="s">
        <v>196</v>
      </c>
      <c r="B4" s="11" t="s">
        <v>197</v>
      </c>
      <c r="C4" s="11" t="s">
        <v>198</v>
      </c>
      <c r="D4" s="11" t="s">
        <v>199</v>
      </c>
      <c r="E4" s="11" t="s">
        <v>200</v>
      </c>
      <c r="F4" s="11" t="s">
        <v>201</v>
      </c>
      <c r="G4" s="11" t="s">
        <v>202</v>
      </c>
      <c r="H4" s="11" t="s">
        <v>167</v>
      </c>
      <c r="I4" s="11" t="s">
        <v>203</v>
      </c>
      <c r="J4" s="11" t="s">
        <v>204</v>
      </c>
    </row>
    <row r="5" customFormat="false" ht="15" hidden="false" customHeight="false" outlineLevel="0" collapsed="false">
      <c r="A5" s="4" t="s">
        <v>205</v>
      </c>
      <c r="B5" s="4" t="s">
        <v>206</v>
      </c>
      <c r="C5" s="4" t="s">
        <v>207</v>
      </c>
      <c r="D5" s="4" t="s">
        <v>108</v>
      </c>
      <c r="E5" s="4" t="s">
        <v>208</v>
      </c>
      <c r="F5" s="4" t="s">
        <v>135</v>
      </c>
      <c r="G5" s="4" t="s">
        <v>209</v>
      </c>
      <c r="H5" s="4" t="s">
        <v>210</v>
      </c>
      <c r="I5" s="5" t="n">
        <f aca="true">IF(OR($G5="",$H5="Closed",$H5="Verified"),"",DATEVALUE($G5)-TODAY())</f>
        <v>4</v>
      </c>
      <c r="J5" s="5" t="str">
        <f aca="false">IF(ISNUMBER($I5),IF($I5&lt;0,"OVERDUE",""),"")</f>
        <v/>
      </c>
    </row>
    <row r="6" customFormat="false" ht="15" hidden="false" customHeight="false" outlineLevel="0" collapsed="false">
      <c r="A6" s="4" t="s">
        <v>211</v>
      </c>
      <c r="B6" s="4" t="s">
        <v>212</v>
      </c>
      <c r="C6" s="4" t="s">
        <v>213</v>
      </c>
      <c r="D6" s="4" t="s">
        <v>112</v>
      </c>
      <c r="E6" s="4" t="s">
        <v>214</v>
      </c>
      <c r="F6" s="4" t="s">
        <v>137</v>
      </c>
      <c r="G6" s="4" t="s">
        <v>215</v>
      </c>
      <c r="H6" s="4" t="s">
        <v>173</v>
      </c>
      <c r="I6" s="5" t="n">
        <f aca="true">IF(OR($G6="",$H6="Closed",$H6="Verified"),"",DATEVALUE($G6)-TODAY())</f>
        <v>-10</v>
      </c>
      <c r="J6" s="5" t="str">
        <f aca="false">IF(ISNUMBER($I6),IF($I6&lt;0,"OVERDUE",""),"")</f>
        <v>OVERDUE</v>
      </c>
    </row>
    <row r="7" customFormat="false" ht="15" hidden="false" customHeight="false" outlineLevel="0" collapsed="false">
      <c r="A7" s="4" t="s">
        <v>216</v>
      </c>
      <c r="B7" s="4" t="s">
        <v>217</v>
      </c>
      <c r="C7" s="4" t="s">
        <v>213</v>
      </c>
      <c r="D7" s="4" t="s">
        <v>130</v>
      </c>
      <c r="E7" s="4" t="s">
        <v>218</v>
      </c>
      <c r="F7" s="4" t="s">
        <v>129</v>
      </c>
      <c r="G7" s="4" t="s">
        <v>219</v>
      </c>
      <c r="H7" s="4" t="s">
        <v>220</v>
      </c>
      <c r="I7" s="5" t="str">
        <f aca="true">IF(OR($G7="",$H7="Closed",$H7="Verified"),"",DATEVALUE($G7)-TODAY())</f>
        <v/>
      </c>
      <c r="J7" s="5" t="str">
        <f aca="false">IF(ISNUMBER($I7),IF($I7&lt;0,"OVERDUE",""),"")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5" t="str">
        <f aca="true">IF(OR($G8="",$H8="Closed",$H8="Verified"),"",DATEVALUE($G8)-TODAY())</f>
        <v/>
      </c>
      <c r="J8" s="5" t="str">
        <f aca="false">IF(ISNUMBER($I8),IF($I8&lt;0,"OVERDUE",""),"")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5" t="str">
        <f aca="true">IF(OR($G9="",$H9="Closed",$H9="Verified"),"",DATEVALUE($G9)-TODAY())</f>
        <v/>
      </c>
      <c r="J9" s="5" t="str">
        <f aca="false">IF(ISNUMBER($I9),IF($I9&lt;0,"OVERDUE",""),"")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5" t="str">
        <f aca="true">IF(OR($G10="",$H10="Closed",$H10="Verified"),"",DATEVALUE($G10)-TODAY())</f>
        <v/>
      </c>
      <c r="J10" s="5" t="str">
        <f aca="false">IF(ISNUMBER($I10),IF($I10&lt;0,"OVERDUE",""),"")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5" t="str">
        <f aca="true">IF(OR($G11="",$H11="Closed",$H11="Verified"),"",DATEVALUE($G11)-TODAY())</f>
        <v/>
      </c>
      <c r="J11" s="5" t="str">
        <f aca="false">IF(ISNUMBER($I11),IF($I11&lt;0,"OVERDUE",""),"")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5" t="str">
        <f aca="true">IF(OR($G12="",$H12="Closed",$H12="Verified"),"",DATEVALUE($G12)-TODAY())</f>
        <v/>
      </c>
      <c r="J12" s="5" t="str">
        <f aca="false">IF(ISNUMBER($I12),IF($I12&lt;0,"OVERDUE",""),"")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5" t="str">
        <f aca="true">IF(OR($G13="",$H13="Closed",$H13="Verified"),"",DATEVALUE($G13)-TODAY())</f>
        <v/>
      </c>
      <c r="J13" s="5" t="str">
        <f aca="false">IF(ISNUMBER($I13),IF($I13&lt;0,"OVERDUE",""),"")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5" t="str">
        <f aca="true">IF(OR($G14="",$H14="Closed",$H14="Verified"),"",DATEVALUE($G14)-TODAY())</f>
        <v/>
      </c>
      <c r="J14" s="5" t="str">
        <f aca="false">IF(ISNUMBER($I14),IF($I14&lt;0,"OVERDUE",""),"")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5" t="str">
        <f aca="true">IF(OR($G15="",$H15="Closed",$H15="Verified"),"",DATEVALUE($G15)-TODAY())</f>
        <v/>
      </c>
      <c r="J15" s="5" t="str">
        <f aca="false">IF(ISNUMBER($I15),IF($I15&lt;0,"OVERDUE",""),"")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5" t="str">
        <f aca="true">IF(OR($G16="",$H16="Closed",$H16="Verified"),"",DATEVALUE($G16)-TODAY())</f>
        <v/>
      </c>
      <c r="J16" s="5" t="str">
        <f aca="false">IF(ISNUMBER($I16),IF($I16&lt;0,"OVERDUE",""),"")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5" t="str">
        <f aca="true">IF(OR($G17="",$H17="Closed",$H17="Verified"),"",DATEVALUE($G17)-TODAY())</f>
        <v/>
      </c>
      <c r="J17" s="5" t="str">
        <f aca="false">IF(ISNUMBER($I17),IF($I17&lt;0,"OVERDUE",""),"")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5" t="str">
        <f aca="true">IF(OR($G18="",$H18="Closed",$H18="Verified"),"",DATEVALUE($G18)-TODAY())</f>
        <v/>
      </c>
      <c r="J18" s="5" t="str">
        <f aca="false">IF(ISNUMBER($I18),IF($I18&lt;0,"OVERDUE",""),"")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5" t="str">
        <f aca="true">IF(OR($G19="",$H19="Closed",$H19="Verified"),"",DATEVALUE($G19)-TODAY())</f>
        <v/>
      </c>
      <c r="J19" s="5" t="str">
        <f aca="false">IF(ISNUMBER($I19),IF($I19&lt;0,"OVERDUE",""),"")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5" t="str">
        <f aca="true">IF(OR($G20="",$H20="Closed",$H20="Verified"),"",DATEVALUE($G20)-TODAY())</f>
        <v/>
      </c>
      <c r="J20" s="5" t="str">
        <f aca="false">IF(ISNUMBER($I20),IF($I20&lt;0,"OVERDUE",""),"")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5" t="str">
        <f aca="true">IF(OR($G21="",$H21="Closed",$H21="Verified"),"",DATEVALUE($G21)-TODAY())</f>
        <v/>
      </c>
      <c r="J21" s="5" t="str">
        <f aca="false">IF(ISNUMBER($I21),IF($I21&lt;0,"OVERDUE",""),"")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5" t="str">
        <f aca="true">IF(OR($G22="",$H22="Closed",$H22="Verified"),"",DATEVALUE($G22)-TODAY())</f>
        <v/>
      </c>
      <c r="J22" s="5" t="str">
        <f aca="false">IF(ISNUMBER($I22),IF($I22&lt;0,"OVERDUE",""),"")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5" t="str">
        <f aca="true">IF(OR($G23="",$H23="Closed",$H23="Verified"),"",DATEVALUE($G23)-TODAY())</f>
        <v/>
      </c>
      <c r="J23" s="5" t="str">
        <f aca="false">IF(ISNUMBER($I23),IF($I23&lt;0,"OVERDUE",""),"")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5" t="str">
        <f aca="true">IF(OR($G24="",$H24="Closed",$H24="Verified"),"",DATEVALUE($G24)-TODAY())</f>
        <v/>
      </c>
      <c r="J24" s="5" t="str">
        <f aca="false">IF(ISNUMBER($I24),IF($I24&lt;0,"OVERDUE",""),"")</f>
        <v/>
      </c>
    </row>
    <row r="26" customFormat="false" ht="15" hidden="false" customHeight="false" outlineLevel="0" collapsed="false">
      <c r="A26" s="10" t="s">
        <v>221</v>
      </c>
    </row>
  </sheetData>
  <dataValidations count="2">
    <dataValidation allowBlank="true" errorStyle="stop" operator="between" showDropDown="false" showErrorMessage="false" showInputMessage="false" sqref="C5:C24" type="list">
      <formula1>"Manual,Auto"</formula1>
      <formula2>0</formula2>
    </dataValidation>
    <dataValidation allowBlank="true" errorStyle="stop" operator="between" showDropDown="false" showErrorMessage="false" showInputMessage="false" sqref="H5:H24" type="list">
      <formula1>"Draft,Open,In progress,Closed,Verified"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2026-07-11T14:33:34Z</dcterms:created>
  <dc:creator>openpyxl</dc:creator>
  <dc:description/>
  <dc:language>en-US</dc:language>
  <cp:lastModifiedBy/>
  <dcterms:modified xsi:type="dcterms:W3CDTF">2026-07-11T14:33:41Z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