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Setup" sheetId="2" state="visible" r:id="rId4"/>
    <sheet name="Workflow - Start Here" sheetId="3" state="visible" r:id="rId5"/>
    <sheet name="SPC X-bar R" sheetId="4" state="visible" r:id="rId6"/>
    <sheet name="I-MR" sheetId="5" state="visible" r:id="rId7"/>
    <sheet name="Capability" sheetId="6" state="visible" r:id="rId8"/>
    <sheet name="OEE 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<sst xmlns="http://schemas.openxmlformats.org/spreadsheetml/2006/main" count="261" uniqueCount="192">
  <si>
    <t xml:space="preserve">Procyra — PE Toolkit (Process Engineering)</t>
  </si>
  <si>
    <t xml:space="preserve">Companion workbook to the Procyra web app. Same logic, same Phase 1 modules — usable offline and shareable anywhere.</t>
  </si>
  <si>
    <t xml:space="preserve">Color legend</t>
  </si>
  <si>
    <t xml:space="preserve">Input cell — type here (yellow fill, blue bold)</t>
  </si>
  <si>
    <t xml:space="preserve">Formula cell — never overwrite (black text)</t>
  </si>
  <si>
    <t xml:space="preserve">Cross-sheet link (green text)</t>
  </si>
  <si>
    <t xml:space="preserve">How to reuse this workbook</t>
  </si>
  <si>
    <t xml:space="preserve">1. Go to Setup and pick your industry &amp; process type — labels and defaults adapt everywhere.</t>
  </si>
  <si>
    <t xml:space="preserve">2. Every sheet ships with a documented example dataset in the input cells. Study it, then replace it with your data.</t>
  </si>
  <si>
    <t xml:space="preserve">3. Only ever type in yellow cells. Black cells are formulas; green cells pull from another sheet.</t>
  </si>
  <si>
    <t xml:space="preserve">4. To extend a table, insert rows INSIDE the existing range and copy the formula row down.</t>
  </si>
  <si>
    <t xml:space="preserve">5. Compatibility: only classic functions (INDEX/MATCH, SUMIFS, SUMPRODUCT, RANK) — works in old Excel and LibreOffice.</t>
  </si>
  <si>
    <t xml:space="preserve">Sheets in this workbook</t>
  </si>
  <si>
    <t xml:space="preserve">Setup</t>
  </si>
  <si>
    <t xml:space="preserve">Industry &amp; process type — drives terminology and thresholds on every sheet.</t>
  </si>
  <si>
    <t xml:space="preserve">Workflow - Start Here</t>
  </si>
  <si>
    <t xml:space="preserve">Guided DMAIC sequence, mirroring the web app's playbook.</t>
  </si>
  <si>
    <t xml:space="preserve">SPC X-bar R</t>
  </si>
  <si>
    <t xml:space="preserve">Subgrouped control chart: limits from A2/D3/D4 constants, WE1 &amp; WE4 flags, X-bar and R charts.</t>
  </si>
  <si>
    <t xml:space="preserve">I-MR</t>
  </si>
  <si>
    <t xml:space="preserve">Individuals &amp; moving range chart for one-at-a-time measurements.</t>
  </si>
  <si>
    <t xml:space="preserve">Capability</t>
  </si>
  <si>
    <t xml:space="preserve">Cp/Cpk (within, R-bar/d2) and Pp/Ppk (overall) pulled live from the SPC sheet.</t>
  </si>
  <si>
    <t xml:space="preserve">OEE Log</t>
  </si>
  <si>
    <t xml:space="preserve">Daily availability x performance x quality with below-target flags and trend chart.</t>
  </si>
  <si>
    <t xml:space="preserve">What this workbook does NOT do (honest limits)</t>
  </si>
  <si>
    <t xml:space="preserve">• This workbook checks Western Electric rules 1 (beyond 3-sigma) and 4 (8 consecutive one side). The web app checks all four WE rules on every entry.</t>
  </si>
  <si>
    <t xml:space="preserve">• Charts reference the full 30-row input range; rows you have not filled yet can render as gaps or zeros depending on your spreadsheet app - a charting artifact, not data.</t>
  </si>
  <si>
    <t xml:space="preserve">• Control limits assume rational subgroups and approximate normality; with fewer than ~20 subgroups treat limits as preliminary.</t>
  </si>
  <si>
    <t xml:space="preserve">Setup — industry &amp; process type</t>
  </si>
  <si>
    <t xml:space="preserve">Pick your industry and process type; terminology and defaults below adapt automatically and feed every other sheet.</t>
  </si>
  <si>
    <t xml:space="preserve">Industry</t>
  </si>
  <si>
    <t xml:space="preserve">Automotive</t>
  </si>
  <si>
    <t xml:space="preserve">Process type</t>
  </si>
  <si>
    <t xml:space="preserve">Discrete assembly</t>
  </si>
  <si>
    <t xml:space="preserve">Adapted terminology &amp; defaults (formulas — do not type here)</t>
  </si>
  <si>
    <t xml:space="preserve">Defect term</t>
  </si>
  <si>
    <t xml:space="preserve">Line term</t>
  </si>
  <si>
    <t xml:space="preserve">Unit term</t>
  </si>
  <si>
    <t xml:space="preserve">Quality standard</t>
  </si>
  <si>
    <t xml:space="preserve">Cpk threshold</t>
  </si>
  <si>
    <t xml:space="preserve">OEE target</t>
  </si>
  <si>
    <t xml:space="preserve">NC repeat threshold</t>
  </si>
  <si>
    <t xml:space="preserve">RPN action threshold</t>
  </si>
  <si>
    <t xml:space="preserve">Other sheets read B8:B15 (green cells there = links to here).</t>
  </si>
  <si>
    <t xml:space="preserve">Terminology dictionary (edit to add industries)</t>
  </si>
  <si>
    <t xml:space="preserve">Cpk thr</t>
  </si>
  <si>
    <t xml:space="preserve">NC repeat</t>
  </si>
  <si>
    <t xml:space="preserve">RPN action</t>
  </si>
  <si>
    <t xml:space="preserve">General manufacturing</t>
  </si>
  <si>
    <t xml:space="preserve">Defect</t>
  </si>
  <si>
    <t xml:space="preserve">Line</t>
  </si>
  <si>
    <t xml:space="preserve">Unit</t>
  </si>
  <si>
    <t xml:space="preserve">ISO 9001</t>
  </si>
  <si>
    <t xml:space="preserve">IATF 16949</t>
  </si>
  <si>
    <t xml:space="preserve">Aerospace &amp; defense</t>
  </si>
  <si>
    <t xml:space="preserve">Non-conformity</t>
  </si>
  <si>
    <t xml:space="preserve">AS9100</t>
  </si>
  <si>
    <t xml:space="preserve">Food &amp; beverage</t>
  </si>
  <si>
    <t xml:space="preserve">Deviation</t>
  </si>
  <si>
    <t xml:space="preserve">Processing line</t>
  </si>
  <si>
    <t xml:space="preserve">Batch</t>
  </si>
  <si>
    <t xml:space="preserve">ISO 9001 / FSSC 22000</t>
  </si>
  <si>
    <t xml:space="preserve">Pharma / medical device</t>
  </si>
  <si>
    <t xml:space="preserve">Lot</t>
  </si>
  <si>
    <t xml:space="preserve">ISO 13485 / 21 CFR 820</t>
  </si>
  <si>
    <t xml:space="preserve">Electronics</t>
  </si>
  <si>
    <t xml:space="preserve">SMT line</t>
  </si>
  <si>
    <t xml:space="preserve">Board</t>
  </si>
  <si>
    <t xml:space="preserve">Warehouse &amp; logistics</t>
  </si>
  <si>
    <t xml:space="preserve">Error</t>
  </si>
  <si>
    <t xml:space="preserve">Pick line</t>
  </si>
  <si>
    <t xml:space="preserve">Order</t>
  </si>
  <si>
    <t xml:space="preserve">Construction</t>
  </si>
  <si>
    <t xml:space="preserve">Punch item</t>
  </si>
  <si>
    <t xml:space="preserve">Crew</t>
  </si>
  <si>
    <t xml:space="preserve">Task</t>
  </si>
  <si>
    <t xml:space="preserve">Guided workflow — Reduce defects (DMAIC)</t>
  </si>
  <si>
    <t xml:space="preserve">Mirrors the Procyra web app's guided playbook. Work top to bottom. The app suggests — your team decides; record decisions in the last column.</t>
  </si>
  <si>
    <t xml:space="preserve">Phase</t>
  </si>
  <si>
    <t xml:space="preserve">What to do</t>
  </si>
  <si>
    <t xml:space="preserve">Sheet to use</t>
  </si>
  <si>
    <t xml:space="preserve">Watch out for</t>
  </si>
  <si>
    <t xml:space="preserve">Team decision / notes (type here)</t>
  </si>
  <si>
    <t xml:space="preserve">Define</t>
  </si>
  <si>
    <t xml:space="preserve">Write the problem statement: one process, one measurable characteristic, one baseline metric.</t>
  </si>
  <si>
    <t xml:space="preserve">—</t>
  </si>
  <si>
    <t xml:space="preserve">Vague problem = unmeasurable improvement.</t>
  </si>
  <si>
    <t xml:space="preserve">Measure</t>
  </si>
  <si>
    <t xml:space="preserve">Log at least 20 subgroups on SPC X-bar R (or 20+ individuals on I-MR).</t>
  </si>
  <si>
    <t xml:space="preserve">SPC X-bar R / I-MR</t>
  </si>
  <si>
    <t xml:space="preserve">Log as it happens, not from memory. Keep subgroup size constant.</t>
  </si>
  <si>
    <t xml:space="preserve">Analyze</t>
  </si>
  <si>
    <t xml:space="preserve">Check WE flags and the Capability sheet against your industry Cpk threshold.</t>
  </si>
  <si>
    <t xml:space="preserve">Cpk below threshold means the process can't hold spec even in control — fix the process, not the operator.</t>
  </si>
  <si>
    <t xml:space="preserve">Improve</t>
  </si>
  <si>
    <t xml:space="preserve">Implement the change; keep logging the SAME characteristic the SAME way.</t>
  </si>
  <si>
    <t xml:space="preserve">Changing the measurement method mid-study invalidates the comparison.</t>
  </si>
  <si>
    <t xml:space="preserve">Control</t>
  </si>
  <si>
    <t xml:space="preserve">Recalculate limits after the change proves stable; keep the chart alive.</t>
  </si>
  <si>
    <t xml:space="preserve">A control chart nobody updates is decoration.</t>
  </si>
  <si>
    <t xml:space="preserve">X-bar &amp; R control chart (subgrouped)</t>
  </si>
  <si>
    <t xml:space="preserve">Statistics</t>
  </si>
  <si>
    <t xml:space="preserve">Subgroup size n (2-5 measurement columns used)</t>
  </si>
  <si>
    <t xml:space="preserve">X-double-bar</t>
  </si>
  <si>
    <t xml:space="preserve">Type measurements in yellow x1..x5 (leave extra columns empty if n&lt;5). Everything else computes.</t>
  </si>
  <si>
    <t xml:space="preserve">R-bar</t>
  </si>
  <si>
    <t xml:space="preserve">A2</t>
  </si>
  <si>
    <t xml:space="preserve">D3</t>
  </si>
  <si>
    <t xml:space="preserve">D4</t>
  </si>
  <si>
    <t xml:space="preserve">Subgroup</t>
  </si>
  <si>
    <t xml:space="preserve">Date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</si>
  <si>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</si>
  <si>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</si>
  <si>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</si>
  <si>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</si>
  <si>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</si>
  <si>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Mean</t>
  </si>
  <si>
    <t xml:space="preserve">Range</t>
  </si>
  <si>
    <t xml:space="preserve">CL</t>
  </si>
  <si>
    <t xml:space="preserve">UCLx</t>
  </si>
  <si>
    <t xml:space="preserve">LCLx</t>
  </si>
  <si>
    <t xml:space="preserve">UCLr</t>
  </si>
  <si>
    <t xml:space="preserve">LCLr</t>
  </si>
  <si>
    <t xml:space="preserve">WE1</t>
  </si>
  <si>
    <t xml:space="preserve">WE4</t>
  </si>
  <si>
    <t xml:space="preserve">d2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</si>
  <si>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</si>
  <si>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</si>
  <si>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</si>
  <si>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</si>
  <si>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</si>
  <si>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sigma within (R-bar/d2)</t>
  </si>
  <si>
    <t xml:space="preserve">2026-06-06</t>
  </si>
  <si>
    <t xml:space="preserve">2026-06-07</t>
  </si>
  <si>
    <t xml:space="preserve">2026-06-08</t>
  </si>
  <si>
    <t xml:space="preserve">n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</si>
  <si>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</si>
  <si>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</si>
  <si>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</si>
  <si>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</si>
  <si>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</si>
  <si>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</si>
  <si>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</si>
  <si>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</si>
  <si>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</si>
  <si>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</si>
  <si>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</si>
  <si>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</si>
  <si>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Charts plot all 30 input rows. Unfilled rows can show as gaps or zeros depending on your app — charting artifact, not data. WE1 = point beyond 3-sigma; WE4 = 8 consecutive one side of CL (the web app also checks WE2/WE3).</t>
  </si>
  <si>
    <t xml:space="preserve">Individuals &amp; moving range chart</t>
  </si>
  <si>
    <t xml:space="preserve">For one-at-a-time measurements (no rational subgroups). Type values in yellow; MR, limits, and flags compute.</t>
  </si>
  <si>
    <t xml:space="preserve">X-bar</t>
  </si>
  <si>
    <t xml:space="preserve">Value</t>
  </si>
  <si>
    <t xml:space="preserve">MR</t>
  </si>
  <si>
    <t xml:space="preserve">UCL</t>
  </si>
  <si>
    <t xml:space="preserve">LCL</t>
  </si>
  <si>
    <t xml:space="preserve">MR-bar</t>
  </si>
  <si>
    <t xml:space="preserve">sigma (MR-bar/1.128)</t>
  </si>
  <si>
    <t xml:space="preserve">UCL (X+3s)</t>
  </si>
  <si>
    <t xml:space="preserve">LCL (X-3s)</t>
  </si>
  <si>
    <t xml:space="preserve">UCL-MR (3.267*MR-bar)</t>
  </si>
  <si>
    <t xml:space="preserve">Unfilled rows may render as gaps/zeros — charting artifact, not data.</t>
  </si>
  <si>
    <t xml:space="preserve">Process capability — pulled live from 'SPC X-bar R'</t>
  </si>
  <si>
    <t xml:space="preserve">Spec limits (inputs)</t>
  </si>
  <si>
    <t xml:space="preserve">LSL</t>
  </si>
  <si>
    <t xml:space="preserve">USL</t>
  </si>
  <si>
    <t xml:space="preserve">From SPC sheet (green = cross-sheet links)</t>
  </si>
  <si>
    <t xml:space="preserve">Process mean (X-double-bar)</t>
  </si>
  <si>
    <t xml:space="preserve">sigma overall (sample s of all obs)</t>
  </si>
  <si>
    <t xml:space="preserve">Cpk threshold (from Setup)</t>
  </si>
  <si>
    <t xml:space="preserve">Indices</t>
  </si>
  <si>
    <t xml:space="preserve">Cp  (within)</t>
  </si>
  <si>
    <t xml:space="preserve">Cpk (within)</t>
  </si>
  <si>
    <t xml:space="preserve">Pp  (overall)</t>
  </si>
  <si>
    <t xml:space="preserve">Ppk (overall)</t>
  </si>
  <si>
    <t xml:space="preserve">Verdict</t>
  </si>
  <si>
    <t xml:space="preserve">Cp/Cpk use within-subgroup sigma (R-bar/d2): short-term, what the process CAN do. Pp/Ppk use overall s: long-term, what it DID do. Indices assume approximate normality. In the web app a Cpk drop below threshold raises an alert automatically.</t>
  </si>
  <si>
    <t xml:space="preserve">OEE daily log</t>
  </si>
  <si>
    <t xml:space="preserve">OEE target (from Setup)</t>
  </si>
  <si>
    <t xml:space="preserve">Planned min</t>
  </si>
  <si>
    <t xml:space="preserve">Run min</t>
  </si>
  <si>
    <t xml:space="preserve">Ideal cycle (min/unit)</t>
  </si>
  <si>
    <t xml:space="preserve">Total count</t>
  </si>
  <si>
    <t xml:space="preserve">Good count</t>
  </si>
  <si>
    <t xml:space="preserve">Availability</t>
  </si>
  <si>
    <t xml:space="preserve">Performance</t>
  </si>
  <si>
    <t xml:space="preserve">Quality</t>
  </si>
  <si>
    <t xml:space="preserve">OEE</t>
  </si>
  <si>
    <t xml:space="preserve">Target</t>
  </si>
  <si>
    <t xml:space="preserve">Below?</t>
  </si>
  <si>
    <t xml:space="preserve">3+ consecutive BELOW rows = the pattern the web app alerts on automatically. Unfilled rows may render as gaps/zeros — charting artifact.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</si>
</sst>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0"/>
    <numFmt numFmtId="167" formatCode="0%"/>
    <numFmt numFmtId="168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5A647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8"/>
      <color theme="1"/>
      <name val="Arial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2262B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4AD"/>
      </left>
      <right style="thin">
        <color rgb="FFB0B4AD"/>
      </right>
      <top style="thin">
        <color rgb="FFB0B4AD"/>
      </top>
      <bottom style="thin">
        <color rgb="FFB0B4A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4AD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003366"/>
      <rgbColor rgb="FF339966"/>
      <rgbColor rgb="FF003300"/>
      <rgbColor rgb="FF333300"/>
      <rgbColor rgb="FF993300"/>
      <rgbColor rgb="FF993366"/>
      <rgbColor rgb="FF5A6472"/>
      <rgbColor rgb="FF2226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X-bar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'SPC X-bar R'!H8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'SPC X-bar R'!$A$9:$A$38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'SPC X-bar R'!$H$9:$H$38</c:f>
              <c:numCache>
                <c:formatCode>General</c:formatCode>
                <c:ptCount val="30"/>
                <c:pt idx="0">
                  <c:v>10.0004</c:v>
                </c:pt>
                <c:pt idx="1">
                  <c:v>9.9968</c:v>
                </c:pt>
                <c:pt idx="2">
                  <c:v>10.003</c:v>
                </c:pt>
                <c:pt idx="3">
                  <c:v>10.0008</c:v>
                </c:pt>
                <c:pt idx="4">
                  <c:v>10.0002</c:v>
                </c:pt>
                <c:pt idx="5">
                  <c:v>10.0002</c:v>
                </c:pt>
                <c:pt idx="6">
                  <c:v>9.99</c:v>
                </c:pt>
                <c:pt idx="7">
                  <c:v>10.0004</c:v>
                </c:pt>
                <c:pt idx="8">
                  <c:v>10.0022</c:v>
                </c:pt>
                <c:pt idx="9">
                  <c:v>10.0002</c:v>
                </c:pt>
                <c:pt idx="10">
                  <c:v>10.0024</c:v>
                </c:pt>
                <c:pt idx="11">
                  <c:v>10.0048</c:v>
                </c:pt>
                <c:pt idx="12">
                  <c:v>10.0008</c:v>
                </c:pt>
                <c:pt idx="13">
                  <c:v>9.9986</c:v>
                </c:pt>
                <c:pt idx="14">
                  <c:v>10.0546</c:v>
                </c:pt>
                <c:pt idx="15">
                  <c:v>10.0004</c:v>
                </c:pt>
                <c:pt idx="16">
                  <c:v>9.991</c:v>
                </c:pt>
                <c:pt idx="17">
                  <c:v>10.0042</c:v>
                </c:pt>
                <c:pt idx="18">
                  <c:v>10.0044</c:v>
                </c:pt>
                <c:pt idx="19">
                  <c:v>10.0064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'SPC X-bar R'!J8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'SPC X-bar R'!$A$9:$A$38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'SPC X-bar R'!$J$9:$J$38</c:f>
              <c:numCache>
                <c:formatCode>General</c:formatCode>
                <c:ptCount val="30"/>
                <c:pt idx="0">
                  <c:v>10.00309</c:v>
                </c:pt>
                <c:pt idx="1">
                  <c:v>10.00309</c:v>
                </c:pt>
                <c:pt idx="2">
                  <c:v>10.00309</c:v>
                </c:pt>
                <c:pt idx="3">
                  <c:v>10.00309</c:v>
                </c:pt>
                <c:pt idx="4">
                  <c:v>10.00309</c:v>
                </c:pt>
                <c:pt idx="5">
                  <c:v>10.00309</c:v>
                </c:pt>
                <c:pt idx="6">
                  <c:v>10.00309</c:v>
                </c:pt>
                <c:pt idx="7">
                  <c:v>10.00309</c:v>
                </c:pt>
                <c:pt idx="8">
                  <c:v>10.00309</c:v>
                </c:pt>
                <c:pt idx="9">
                  <c:v>10.00309</c:v>
                </c:pt>
                <c:pt idx="10">
                  <c:v>10.00309</c:v>
                </c:pt>
                <c:pt idx="11">
                  <c:v>10.00309</c:v>
                </c:pt>
                <c:pt idx="12">
                  <c:v>10.00309</c:v>
                </c:pt>
                <c:pt idx="13">
                  <c:v>10.00309</c:v>
                </c:pt>
                <c:pt idx="14">
                  <c:v>10.00309</c:v>
                </c:pt>
                <c:pt idx="15">
                  <c:v>10.00309</c:v>
                </c:pt>
                <c:pt idx="16">
                  <c:v>10.00309</c:v>
                </c:pt>
                <c:pt idx="17">
                  <c:v>10.00309</c:v>
                </c:pt>
                <c:pt idx="18">
                  <c:v>10.00309</c:v>
                </c:pt>
                <c:pt idx="19">
                  <c:v>10.00309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'SPC X-bar R'!K8</c:f>
              <c:strCache>
                <c:ptCount val="1"/>
                <c:pt idx="0">
                  <c:v>UCLx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'SPC X-bar R'!$A$9:$A$38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'SPC X-bar R'!$K$9:$K$38</c:f>
              <c:numCache>
                <c:formatCode>General</c:formatCode>
                <c:ptCount val="30"/>
                <c:pt idx="0">
                  <c:v>10.01500505</c:v>
                </c:pt>
                <c:pt idx="1">
                  <c:v>10.01500505</c:v>
                </c:pt>
                <c:pt idx="2">
                  <c:v>10.01500505</c:v>
                </c:pt>
                <c:pt idx="3">
                  <c:v>10.01500505</c:v>
                </c:pt>
                <c:pt idx="4">
                  <c:v>10.01500505</c:v>
                </c:pt>
                <c:pt idx="5">
                  <c:v>10.01500505</c:v>
                </c:pt>
                <c:pt idx="6">
                  <c:v>10.01500505</c:v>
                </c:pt>
                <c:pt idx="7">
                  <c:v>10.01500505</c:v>
                </c:pt>
                <c:pt idx="8">
                  <c:v>10.01500505</c:v>
                </c:pt>
                <c:pt idx="9">
                  <c:v>10.01500505</c:v>
                </c:pt>
                <c:pt idx="10">
                  <c:v>10.01500505</c:v>
                </c:pt>
                <c:pt idx="11">
                  <c:v>10.01500505</c:v>
                </c:pt>
                <c:pt idx="12">
                  <c:v>10.01500505</c:v>
                </c:pt>
                <c:pt idx="13">
                  <c:v>10.01500505</c:v>
                </c:pt>
                <c:pt idx="14">
                  <c:v>10.01500505</c:v>
                </c:pt>
                <c:pt idx="15">
                  <c:v>10.01500505</c:v>
                </c:pt>
                <c:pt idx="16">
                  <c:v>10.01500505</c:v>
                </c:pt>
                <c:pt idx="17">
                  <c:v>10.01500505</c:v>
                </c:pt>
                <c:pt idx="18">
                  <c:v>10.01500505</c:v>
                </c:pt>
                <c:pt idx="19">
                  <c:v>10.01500505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'SPC X-bar R'!L8</c:f>
              <c:strCache>
                <c:ptCount val="1"/>
                <c:pt idx="0">
                  <c:v>LCLx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'SPC X-bar R'!$A$9:$A$38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'SPC X-bar R'!$L$9:$L$38</c:f>
              <c:numCache>
                <c:formatCode>General</c:formatCode>
                <c:ptCount val="30"/>
                <c:pt idx="0">
                  <c:v>9.99117495</c:v>
                </c:pt>
                <c:pt idx="1">
                  <c:v>9.99117495</c:v>
                </c:pt>
                <c:pt idx="2">
                  <c:v>9.99117495</c:v>
                </c:pt>
                <c:pt idx="3">
                  <c:v>9.99117495</c:v>
                </c:pt>
                <c:pt idx="4">
                  <c:v>9.99117495</c:v>
                </c:pt>
                <c:pt idx="5">
                  <c:v>9.99117495</c:v>
                </c:pt>
                <c:pt idx="6">
                  <c:v>9.99117495</c:v>
                </c:pt>
                <c:pt idx="7">
                  <c:v>9.99117495</c:v>
                </c:pt>
                <c:pt idx="8">
                  <c:v>9.99117495</c:v>
                </c:pt>
                <c:pt idx="9">
                  <c:v>9.99117495</c:v>
                </c:pt>
                <c:pt idx="10">
                  <c:v>9.99117495</c:v>
                </c:pt>
                <c:pt idx="11">
                  <c:v>9.99117495</c:v>
                </c:pt>
                <c:pt idx="12">
                  <c:v>9.99117495</c:v>
                </c:pt>
                <c:pt idx="13">
                  <c:v>9.99117495</c:v>
                </c:pt>
                <c:pt idx="14">
                  <c:v>9.99117495</c:v>
                </c:pt>
                <c:pt idx="15">
                  <c:v>9.99117495</c:v>
                </c:pt>
                <c:pt idx="16">
                  <c:v>9.99117495</c:v>
                </c:pt>
                <c:pt idx="17">
                  <c:v>9.99117495</c:v>
                </c:pt>
                <c:pt idx="18">
                  <c:v>9.99117495</c:v>
                </c:pt>
                <c:pt idx="19">
                  <c:v>9.99117495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2511335"/>
        <c:axId val="25512540"/>
      </c:lineChart>
      <c:catAx>
        <c:axId val="52511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512540"/>
        <c:crosses val="autoZero"/>
        <c:auto val="1"/>
        <c:lblAlgn val="ctr"/>
        <c:lblOffset val="100"/>
        <c:noMultiLvlLbl val="0"/>
      </c:catAx>
      <c:valAx>
        <c:axId val="255125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5113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'SPC X-bar R'!I8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'SPC X-bar R'!$A$9:$A$38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'SPC X-bar R'!$I$9:$I$38</c:f>
              <c:numCache>
                <c:formatCode>General</c:formatCode>
                <c:ptCount val="30"/>
                <c:pt idx="0">
                  <c:v>0.00900000000000034</c:v>
                </c:pt>
                <c:pt idx="1">
                  <c:v>0.0180000000000007</c:v>
                </c:pt>
                <c:pt idx="2">
                  <c:v>0.0190000000000001</c:v>
                </c:pt>
                <c:pt idx="3">
                  <c:v>0.0229999999999997</c:v>
                </c:pt>
                <c:pt idx="4">
                  <c:v>0.0240000000000009</c:v>
                </c:pt>
                <c:pt idx="5">
                  <c:v>0.0189999999999984</c:v>
                </c:pt>
                <c:pt idx="6">
                  <c:v>0.032</c:v>
                </c:pt>
                <c:pt idx="7">
                  <c:v>0.0210000000000008</c:v>
                </c:pt>
                <c:pt idx="8">
                  <c:v>0.0109999999999992</c:v>
                </c:pt>
                <c:pt idx="9">
                  <c:v>0.0129999999999999</c:v>
                </c:pt>
                <c:pt idx="10">
                  <c:v>0.0309999999999988</c:v>
                </c:pt>
                <c:pt idx="11">
                  <c:v>0.0249999999999986</c:v>
                </c:pt>
                <c:pt idx="12">
                  <c:v>0.0279999999999987</c:v>
                </c:pt>
                <c:pt idx="13">
                  <c:v>0.020999999999999</c:v>
                </c:pt>
                <c:pt idx="14">
                  <c:v>0.0289999999999999</c:v>
                </c:pt>
                <c:pt idx="15">
                  <c:v>0.0179999999999989</c:v>
                </c:pt>
                <c:pt idx="16">
                  <c:v>0.0150000000000006</c:v>
                </c:pt>
                <c:pt idx="17">
                  <c:v>0.0120000000000005</c:v>
                </c:pt>
                <c:pt idx="18">
                  <c:v>0.020999999999999</c:v>
                </c:pt>
                <c:pt idx="19">
                  <c:v>0.0239999999999991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'SPC X-bar R'!M8</c:f>
              <c:strCache>
                <c:ptCount val="1"/>
                <c:pt idx="0">
                  <c:v>UCLr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'SPC X-bar R'!$A$9:$A$38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'SPC X-bar R'!$M$9:$M$38</c:f>
              <c:numCache>
                <c:formatCode>General</c:formatCode>
                <c:ptCount val="30"/>
                <c:pt idx="0">
                  <c:v>0.0436540999999993</c:v>
                </c:pt>
                <c:pt idx="1">
                  <c:v>0.0436540999999993</c:v>
                </c:pt>
                <c:pt idx="2">
                  <c:v>0.0436540999999993</c:v>
                </c:pt>
                <c:pt idx="3">
                  <c:v>0.0436540999999993</c:v>
                </c:pt>
                <c:pt idx="4">
                  <c:v>0.0436540999999993</c:v>
                </c:pt>
                <c:pt idx="5">
                  <c:v>0.0436540999999993</c:v>
                </c:pt>
                <c:pt idx="6">
                  <c:v>0.0436540999999993</c:v>
                </c:pt>
                <c:pt idx="7">
                  <c:v>0.0436540999999993</c:v>
                </c:pt>
                <c:pt idx="8">
                  <c:v>0.0436540999999993</c:v>
                </c:pt>
                <c:pt idx="9">
                  <c:v>0.0436540999999993</c:v>
                </c:pt>
                <c:pt idx="10">
                  <c:v>0.0436540999999993</c:v>
                </c:pt>
                <c:pt idx="11">
                  <c:v>0.0436540999999993</c:v>
                </c:pt>
                <c:pt idx="12">
                  <c:v>0.0436540999999993</c:v>
                </c:pt>
                <c:pt idx="13">
                  <c:v>0.0436540999999993</c:v>
                </c:pt>
                <c:pt idx="14">
                  <c:v>0.0436540999999993</c:v>
                </c:pt>
                <c:pt idx="15">
                  <c:v>0.0436540999999993</c:v>
                </c:pt>
                <c:pt idx="16">
                  <c:v>0.0436540999999993</c:v>
                </c:pt>
                <c:pt idx="17">
                  <c:v>0.0436540999999993</c:v>
                </c:pt>
                <c:pt idx="18">
                  <c:v>0.0436540999999993</c:v>
                </c:pt>
                <c:pt idx="19">
                  <c:v>0.0436540999999993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'SPC X-bar R'!N8</c:f>
              <c:strCache>
                <c:ptCount val="1"/>
                <c:pt idx="0">
                  <c:v>LCLr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'SPC X-bar R'!$A$9:$A$38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'SPC X-bar R'!$N$9:$N$38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7655323"/>
        <c:axId val="70160236"/>
      </c:lineChart>
      <c:catAx>
        <c:axId val="576553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160236"/>
        <c:crosses val="autoZero"/>
        <c:auto val="1"/>
        <c:lblAlgn val="ctr"/>
        <c:lblOffset val="100"/>
        <c:noMultiLvlLbl val="0"/>
      </c:catAx>
      <c:valAx>
        <c:axId val="701602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6553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Individuals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'I-MR'!B5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'I-MR'!$A$6:$A$35</c:f>
              <c:strCache>
                <c:ptCount val="30"/>
                <c:pt idx="0">
                  <c:v>2026-06-01</c:v>
                </c:pt>
                <c:pt idx="1">
                  <c:v>2026-06-02</c:v>
                </c:pt>
                <c:pt idx="2">
                  <c:v>2026-06-03</c:v>
                </c:pt>
                <c:pt idx="3">
                  <c:v>2026-06-04</c:v>
                </c:pt>
                <c:pt idx="4">
                  <c:v>2026-06-05</c:v>
                </c:pt>
                <c:pt idx="5">
                  <c:v>2026-06-06</c:v>
                </c:pt>
                <c:pt idx="6">
                  <c:v>2026-06-07</c:v>
                </c:pt>
                <c:pt idx="7">
                  <c:v>2026-06-08</c:v>
                </c:pt>
                <c:pt idx="8">
                  <c:v>2026-06-09</c:v>
                </c:pt>
                <c:pt idx="9">
                  <c:v>2026-06-10</c:v>
                </c:pt>
                <c:pt idx="10">
                  <c:v>2026-06-11</c:v>
                </c:pt>
                <c:pt idx="11">
                  <c:v>2026-06-12</c:v>
                </c:pt>
                <c:pt idx="12">
                  <c:v>2026-06-13</c:v>
                </c:pt>
                <c:pt idx="13">
                  <c:v>2026-06-14</c:v>
                </c:pt>
                <c:pt idx="14">
                  <c:v>2026-06-15</c:v>
                </c:pt>
                <c:pt idx="15">
                  <c:v>2026-06-16</c:v>
                </c:pt>
                <c:pt idx="16">
                  <c:v>2026-06-17</c:v>
                </c:pt>
                <c:pt idx="17">
                  <c:v>2026-06-18</c:v>
                </c:pt>
                <c:pt idx="18">
                  <c:v>2026-06-19</c:v>
                </c:pt>
                <c:pt idx="19">
                  <c:v>2026-06-20</c:v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'I-MR'!$B$6:$B$35</c:f>
              <c:numCache>
                <c:formatCode>General</c:formatCode>
                <c:ptCount val="30"/>
                <c:pt idx="0">
                  <c:v>10.032</c:v>
                </c:pt>
                <c:pt idx="1">
                  <c:v>10.002</c:v>
                </c:pt>
                <c:pt idx="2">
                  <c:v>9.99</c:v>
                </c:pt>
                <c:pt idx="3">
                  <c:v>9.977</c:v>
                </c:pt>
                <c:pt idx="4">
                  <c:v>9.997</c:v>
                </c:pt>
                <c:pt idx="5">
                  <c:v>10.028</c:v>
                </c:pt>
                <c:pt idx="6">
                  <c:v>10.016</c:v>
                </c:pt>
                <c:pt idx="7">
                  <c:v>10.014</c:v>
                </c:pt>
                <c:pt idx="8">
                  <c:v>9.952</c:v>
                </c:pt>
                <c:pt idx="9">
                  <c:v>10.014</c:v>
                </c:pt>
                <c:pt idx="10">
                  <c:v>10.011</c:v>
                </c:pt>
                <c:pt idx="11">
                  <c:v>9.989</c:v>
                </c:pt>
                <c:pt idx="12">
                  <c:v>9.987</c:v>
                </c:pt>
                <c:pt idx="13">
                  <c:v>10</c:v>
                </c:pt>
                <c:pt idx="14">
                  <c:v>10.034</c:v>
                </c:pt>
                <c:pt idx="15">
                  <c:v>9.979</c:v>
                </c:pt>
                <c:pt idx="16">
                  <c:v>9.991</c:v>
                </c:pt>
                <c:pt idx="17">
                  <c:v>10.027</c:v>
                </c:pt>
                <c:pt idx="18">
                  <c:v>9.991</c:v>
                </c:pt>
                <c:pt idx="19">
                  <c:v>10.15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'I-MR'!D5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'I-MR'!$A$6:$A$35</c:f>
              <c:strCache>
                <c:ptCount val="30"/>
                <c:pt idx="0">
                  <c:v>2026-06-01</c:v>
                </c:pt>
                <c:pt idx="1">
                  <c:v>2026-06-02</c:v>
                </c:pt>
                <c:pt idx="2">
                  <c:v>2026-06-03</c:v>
                </c:pt>
                <c:pt idx="3">
                  <c:v>2026-06-04</c:v>
                </c:pt>
                <c:pt idx="4">
                  <c:v>2026-06-05</c:v>
                </c:pt>
                <c:pt idx="5">
                  <c:v>2026-06-06</c:v>
                </c:pt>
                <c:pt idx="6">
                  <c:v>2026-06-07</c:v>
                </c:pt>
                <c:pt idx="7">
                  <c:v>2026-06-08</c:v>
                </c:pt>
                <c:pt idx="8">
                  <c:v>2026-06-09</c:v>
                </c:pt>
                <c:pt idx="9">
                  <c:v>2026-06-10</c:v>
                </c:pt>
                <c:pt idx="10">
                  <c:v>2026-06-11</c:v>
                </c:pt>
                <c:pt idx="11">
                  <c:v>2026-06-12</c:v>
                </c:pt>
                <c:pt idx="12">
                  <c:v>2026-06-13</c:v>
                </c:pt>
                <c:pt idx="13">
                  <c:v>2026-06-14</c:v>
                </c:pt>
                <c:pt idx="14">
                  <c:v>2026-06-15</c:v>
                </c:pt>
                <c:pt idx="15">
                  <c:v>2026-06-16</c:v>
                </c:pt>
                <c:pt idx="16">
                  <c:v>2026-06-17</c:v>
                </c:pt>
                <c:pt idx="17">
                  <c:v>2026-06-18</c:v>
                </c:pt>
                <c:pt idx="18">
                  <c:v>2026-06-19</c:v>
                </c:pt>
                <c:pt idx="19">
                  <c:v>2026-06-20</c:v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'I-MR'!$D$6:$D$35</c:f>
              <c:numCache>
                <c:formatCode>General</c:formatCode>
                <c:ptCount val="30"/>
                <c:pt idx="0">
                  <c:v>10.00905</c:v>
                </c:pt>
                <c:pt idx="1">
                  <c:v>10.00905</c:v>
                </c:pt>
                <c:pt idx="2">
                  <c:v>10.00905</c:v>
                </c:pt>
                <c:pt idx="3">
                  <c:v>10.00905</c:v>
                </c:pt>
                <c:pt idx="4">
                  <c:v>10.00905</c:v>
                </c:pt>
                <c:pt idx="5">
                  <c:v>10.00905</c:v>
                </c:pt>
                <c:pt idx="6">
                  <c:v>10.00905</c:v>
                </c:pt>
                <c:pt idx="7">
                  <c:v>10.00905</c:v>
                </c:pt>
                <c:pt idx="8">
                  <c:v>10.00905</c:v>
                </c:pt>
                <c:pt idx="9">
                  <c:v>10.00905</c:v>
                </c:pt>
                <c:pt idx="10">
                  <c:v>10.00905</c:v>
                </c:pt>
                <c:pt idx="11">
                  <c:v>10.00905</c:v>
                </c:pt>
                <c:pt idx="12">
                  <c:v>10.00905</c:v>
                </c:pt>
                <c:pt idx="13">
                  <c:v>10.00905</c:v>
                </c:pt>
                <c:pt idx="14">
                  <c:v>10.00905</c:v>
                </c:pt>
                <c:pt idx="15">
                  <c:v>10.00905</c:v>
                </c:pt>
                <c:pt idx="16">
                  <c:v>10.00905</c:v>
                </c:pt>
                <c:pt idx="17">
                  <c:v>10.00905</c:v>
                </c:pt>
                <c:pt idx="18">
                  <c:v>10.00905</c:v>
                </c:pt>
                <c:pt idx="19">
                  <c:v>10.00905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'I-MR'!E5</c:f>
              <c:strCache>
                <c:ptCount val="1"/>
                <c:pt idx="0">
                  <c:v>UCL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'I-MR'!$A$6:$A$35</c:f>
              <c:strCache>
                <c:ptCount val="30"/>
                <c:pt idx="0">
                  <c:v>2026-06-01</c:v>
                </c:pt>
                <c:pt idx="1">
                  <c:v>2026-06-02</c:v>
                </c:pt>
                <c:pt idx="2">
                  <c:v>2026-06-03</c:v>
                </c:pt>
                <c:pt idx="3">
                  <c:v>2026-06-04</c:v>
                </c:pt>
                <c:pt idx="4">
                  <c:v>2026-06-05</c:v>
                </c:pt>
                <c:pt idx="5">
                  <c:v>2026-06-06</c:v>
                </c:pt>
                <c:pt idx="6">
                  <c:v>2026-06-07</c:v>
                </c:pt>
                <c:pt idx="7">
                  <c:v>2026-06-08</c:v>
                </c:pt>
                <c:pt idx="8">
                  <c:v>2026-06-09</c:v>
                </c:pt>
                <c:pt idx="9">
                  <c:v>2026-06-10</c:v>
                </c:pt>
                <c:pt idx="10">
                  <c:v>2026-06-11</c:v>
                </c:pt>
                <c:pt idx="11">
                  <c:v>2026-06-12</c:v>
                </c:pt>
                <c:pt idx="12">
                  <c:v>2026-06-13</c:v>
                </c:pt>
                <c:pt idx="13">
                  <c:v>2026-06-14</c:v>
                </c:pt>
                <c:pt idx="14">
                  <c:v>2026-06-15</c:v>
                </c:pt>
                <c:pt idx="15">
                  <c:v>2026-06-16</c:v>
                </c:pt>
                <c:pt idx="16">
                  <c:v>2026-06-17</c:v>
                </c:pt>
                <c:pt idx="17">
                  <c:v>2026-06-18</c:v>
                </c:pt>
                <c:pt idx="18">
                  <c:v>2026-06-19</c:v>
                </c:pt>
                <c:pt idx="19">
                  <c:v>2026-06-20</c:v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'I-MR'!$E$6:$E$35</c:f>
              <c:numCache>
                <c:formatCode>General</c:formatCode>
                <c:ptCount val="30"/>
                <c:pt idx="0">
                  <c:v>10.0952762038074</c:v>
                </c:pt>
                <c:pt idx="1">
                  <c:v>10.0952762038074</c:v>
                </c:pt>
                <c:pt idx="2">
                  <c:v>10.0952762038074</c:v>
                </c:pt>
                <c:pt idx="3">
                  <c:v>10.0952762038074</c:v>
                </c:pt>
                <c:pt idx="4">
                  <c:v>10.0952762038074</c:v>
                </c:pt>
                <c:pt idx="5">
                  <c:v>10.0952762038074</c:v>
                </c:pt>
                <c:pt idx="6">
                  <c:v>10.0952762038074</c:v>
                </c:pt>
                <c:pt idx="7">
                  <c:v>10.0952762038074</c:v>
                </c:pt>
                <c:pt idx="8">
                  <c:v>10.0952762038074</c:v>
                </c:pt>
                <c:pt idx="9">
                  <c:v>10.0952762038074</c:v>
                </c:pt>
                <c:pt idx="10">
                  <c:v>10.0952762038074</c:v>
                </c:pt>
                <c:pt idx="11">
                  <c:v>10.0952762038074</c:v>
                </c:pt>
                <c:pt idx="12">
                  <c:v>10.0952762038074</c:v>
                </c:pt>
                <c:pt idx="13">
                  <c:v>10.0952762038074</c:v>
                </c:pt>
                <c:pt idx="14">
                  <c:v>10.0952762038074</c:v>
                </c:pt>
                <c:pt idx="15">
                  <c:v>10.0952762038074</c:v>
                </c:pt>
                <c:pt idx="16">
                  <c:v>10.0952762038074</c:v>
                </c:pt>
                <c:pt idx="17">
                  <c:v>10.0952762038074</c:v>
                </c:pt>
                <c:pt idx="18">
                  <c:v>10.0952762038074</c:v>
                </c:pt>
                <c:pt idx="19">
                  <c:v>10.0952762038074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'I-MR'!F5</c:f>
              <c:strCache>
                <c:ptCount val="1"/>
                <c:pt idx="0">
                  <c:v>LCL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'I-MR'!$A$6:$A$35</c:f>
              <c:strCache>
                <c:ptCount val="30"/>
                <c:pt idx="0">
                  <c:v>2026-06-01</c:v>
                </c:pt>
                <c:pt idx="1">
                  <c:v>2026-06-02</c:v>
                </c:pt>
                <c:pt idx="2">
                  <c:v>2026-06-03</c:v>
                </c:pt>
                <c:pt idx="3">
                  <c:v>2026-06-04</c:v>
                </c:pt>
                <c:pt idx="4">
                  <c:v>2026-06-05</c:v>
                </c:pt>
                <c:pt idx="5">
                  <c:v>2026-06-06</c:v>
                </c:pt>
                <c:pt idx="6">
                  <c:v>2026-06-07</c:v>
                </c:pt>
                <c:pt idx="7">
                  <c:v>2026-06-08</c:v>
                </c:pt>
                <c:pt idx="8">
                  <c:v>2026-06-09</c:v>
                </c:pt>
                <c:pt idx="9">
                  <c:v>2026-06-10</c:v>
                </c:pt>
                <c:pt idx="10">
                  <c:v>2026-06-11</c:v>
                </c:pt>
                <c:pt idx="11">
                  <c:v>2026-06-12</c:v>
                </c:pt>
                <c:pt idx="12">
                  <c:v>2026-06-13</c:v>
                </c:pt>
                <c:pt idx="13">
                  <c:v>2026-06-14</c:v>
                </c:pt>
                <c:pt idx="14">
                  <c:v>2026-06-15</c:v>
                </c:pt>
                <c:pt idx="15">
                  <c:v>2026-06-16</c:v>
                </c:pt>
                <c:pt idx="16">
                  <c:v>2026-06-17</c:v>
                </c:pt>
                <c:pt idx="17">
                  <c:v>2026-06-18</c:v>
                </c:pt>
                <c:pt idx="18">
                  <c:v>2026-06-19</c:v>
                </c:pt>
                <c:pt idx="19">
                  <c:v>2026-06-20</c:v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'I-MR'!$F$6:$F$35</c:f>
              <c:numCache>
                <c:formatCode>General</c:formatCode>
                <c:ptCount val="30"/>
                <c:pt idx="0">
                  <c:v>9.92282379619261</c:v>
                </c:pt>
                <c:pt idx="1">
                  <c:v>9.92282379619261</c:v>
                </c:pt>
                <c:pt idx="2">
                  <c:v>9.92282379619261</c:v>
                </c:pt>
                <c:pt idx="3">
                  <c:v>9.92282379619261</c:v>
                </c:pt>
                <c:pt idx="4">
                  <c:v>9.92282379619261</c:v>
                </c:pt>
                <c:pt idx="5">
                  <c:v>9.92282379619261</c:v>
                </c:pt>
                <c:pt idx="6">
                  <c:v>9.92282379619261</c:v>
                </c:pt>
                <c:pt idx="7">
                  <c:v>9.92282379619261</c:v>
                </c:pt>
                <c:pt idx="8">
                  <c:v>9.92282379619261</c:v>
                </c:pt>
                <c:pt idx="9">
                  <c:v>9.92282379619261</c:v>
                </c:pt>
                <c:pt idx="10">
                  <c:v>9.92282379619261</c:v>
                </c:pt>
                <c:pt idx="11">
                  <c:v>9.92282379619261</c:v>
                </c:pt>
                <c:pt idx="12">
                  <c:v>9.92282379619261</c:v>
                </c:pt>
                <c:pt idx="13">
                  <c:v>9.92282379619261</c:v>
                </c:pt>
                <c:pt idx="14">
                  <c:v>9.92282379619261</c:v>
                </c:pt>
                <c:pt idx="15">
                  <c:v>9.92282379619261</c:v>
                </c:pt>
                <c:pt idx="16">
                  <c:v>9.92282379619261</c:v>
                </c:pt>
                <c:pt idx="17">
                  <c:v>9.92282379619261</c:v>
                </c:pt>
                <c:pt idx="18">
                  <c:v>9.92282379619261</c:v>
                </c:pt>
                <c:pt idx="19">
                  <c:v>9.92282379619261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613943"/>
        <c:axId val="47755370"/>
      </c:lineChart>
      <c:catAx>
        <c:axId val="14613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755370"/>
        <c:crosses val="autoZero"/>
        <c:auto val="1"/>
        <c:lblAlgn val="ctr"/>
        <c:lblOffset val="100"/>
        <c:noMultiLvlLbl val="0"/>
      </c:catAx>
      <c:valAx>
        <c:axId val="47755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6139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OEE trend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'OEE Log'!J6</c:f>
              <c:strCache>
                <c:ptCount val="1"/>
                <c:pt idx="0">
                  <c:v>OEE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'OEE Log'!$A$7:$A$36</c:f>
              <c:strCache>
                <c:ptCount val="30"/>
                <c:pt idx="0">
                  <c:v>2026-06-01</c:v>
                </c:pt>
                <c:pt idx="1">
                  <c:v>2026-06-02</c:v>
                </c:pt>
                <c:pt idx="2">
                  <c:v>2026-06-03</c:v>
                </c:pt>
                <c:pt idx="3">
                  <c:v>2026-06-04</c:v>
                </c:pt>
                <c:pt idx="4">
                  <c:v>2026-06-05</c:v>
                </c:pt>
                <c:pt idx="5">
                  <c:v>2026-06-06</c:v>
                </c:pt>
                <c:pt idx="6">
                  <c:v>2026-06-07</c:v>
                </c:pt>
                <c:pt idx="7">
                  <c:v>2026-06-08</c:v>
                </c:pt>
                <c:pt idx="8">
                  <c:v>2026-06-09</c:v>
                </c:pt>
                <c:pt idx="9">
                  <c:v>2026-06-10</c:v>
                </c:pt>
                <c:pt idx="10">
                  <c:v>2026-06-11</c:v>
                </c:pt>
                <c:pt idx="11">
                  <c:v>2026-06-12</c:v>
                </c:pt>
                <c:pt idx="12">
                  <c:v>2026-06-13</c:v>
                </c:pt>
                <c:pt idx="13">
                  <c:v>2026-06-14</c:v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'OEE Log'!$J$7:$J$36</c:f>
              <c:numCache>
                <c:formatCode>0.0%</c:formatCode>
                <c:ptCount val="30"/>
                <c:pt idx="0">
                  <c:v>0.883333333333333</c:v>
                </c:pt>
                <c:pt idx="1">
                  <c:v>0.883333333333333</c:v>
                </c:pt>
                <c:pt idx="2">
                  <c:v>0.883333333333333</c:v>
                </c:pt>
                <c:pt idx="3">
                  <c:v>0.883333333333333</c:v>
                </c:pt>
                <c:pt idx="4">
                  <c:v>0.883333333333333</c:v>
                </c:pt>
                <c:pt idx="5">
                  <c:v>0.883333333333333</c:v>
                </c:pt>
                <c:pt idx="6">
                  <c:v>0.883333333333333</c:v>
                </c:pt>
                <c:pt idx="7">
                  <c:v>0.883333333333333</c:v>
                </c:pt>
                <c:pt idx="8">
                  <c:v>0.883333333333333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0.883333333333333</c:v>
                </c:pt>
                <c:pt idx="13">
                  <c:v>0.883333333333333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'OEE Log'!K6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'OEE Log'!$A$7:$A$36</c:f>
              <c:strCache>
                <c:ptCount val="30"/>
                <c:pt idx="0">
                  <c:v>2026-06-01</c:v>
                </c:pt>
                <c:pt idx="1">
                  <c:v>2026-06-02</c:v>
                </c:pt>
                <c:pt idx="2">
                  <c:v>2026-06-03</c:v>
                </c:pt>
                <c:pt idx="3">
                  <c:v>2026-06-04</c:v>
                </c:pt>
                <c:pt idx="4">
                  <c:v>2026-06-05</c:v>
                </c:pt>
                <c:pt idx="5">
                  <c:v>2026-06-06</c:v>
                </c:pt>
                <c:pt idx="6">
                  <c:v>2026-06-07</c:v>
                </c:pt>
                <c:pt idx="7">
                  <c:v>2026-06-08</c:v>
                </c:pt>
                <c:pt idx="8">
                  <c:v>2026-06-09</c:v>
                </c:pt>
                <c:pt idx="9">
                  <c:v>2026-06-10</c:v>
                </c:pt>
                <c:pt idx="10">
                  <c:v>2026-06-11</c:v>
                </c:pt>
                <c:pt idx="11">
                  <c:v>2026-06-12</c:v>
                </c:pt>
                <c:pt idx="12">
                  <c:v>2026-06-13</c:v>
                </c:pt>
                <c:pt idx="13">
                  <c:v>2026-06-14</c:v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'OEE Log'!$K$7:$K$36</c:f>
              <c:numCache>
                <c:formatCode>0.0%</c:formatCode>
                <c:ptCount val="30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756931"/>
        <c:axId val="30869551"/>
      </c:lineChart>
      <c:catAx>
        <c:axId val="127569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869551"/>
        <c:crosses val="autoZero"/>
        <c:auto val="1"/>
        <c:lblAlgn val="ctr"/>
        <c:lblOffset val="100"/>
        <c:noMultiLvlLbl val="0"/>
      </c:catAx>
      <c:valAx>
        <c:axId val="308695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569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39</xdr:row>
      <xdr:rowOff>160920</xdr:rowOff>
    </xdr:from>
    <xdr:to>
      <xdr:col>14</xdr:col>
      <xdr:colOff>95760</xdr:colOff>
      <xdr:row>54</xdr:row>
      <xdr:rowOff>182880</xdr:rowOff>
    </xdr:to>
    <xdr:graphicFrame>
      <xdr:nvGraphicFramePr>
        <xdr:cNvPr id="0" name="Chart 1"/>
        <xdr:cNvGraphicFramePr/>
      </xdr:nvGraphicFramePr>
      <xdr:xfrm>
        <a:off x="0" y="762012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56</xdr:row>
      <xdr:rowOff>160920</xdr:rowOff>
    </xdr:from>
    <xdr:to>
      <xdr:col>14</xdr:col>
      <xdr:colOff>95760</xdr:colOff>
      <xdr:row>71</xdr:row>
      <xdr:rowOff>182880</xdr:rowOff>
    </xdr:to>
    <xdr:graphicFrame>
      <xdr:nvGraphicFramePr>
        <xdr:cNvPr id="1" name="Chart 2"/>
        <xdr:cNvGraphicFramePr/>
      </xdr:nvGraphicFramePr>
      <xdr:xfrm>
        <a:off x="0" y="1085868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36</xdr:row>
      <xdr:rowOff>160560</xdr:rowOff>
    </xdr:from>
    <xdr:to>
      <xdr:col>11</xdr:col>
      <xdr:colOff>446400</xdr:colOff>
      <xdr:row>51</xdr:row>
      <xdr:rowOff>182880</xdr:rowOff>
    </xdr:to>
    <xdr:graphicFrame>
      <xdr:nvGraphicFramePr>
        <xdr:cNvPr id="2" name="Chart 1"/>
        <xdr:cNvGraphicFramePr/>
      </xdr:nvGraphicFramePr>
      <xdr:xfrm>
        <a:off x="0" y="704844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37</xdr:row>
      <xdr:rowOff>67320</xdr:rowOff>
    </xdr:from>
    <xdr:to>
      <xdr:col>11</xdr:col>
      <xdr:colOff>25200</xdr:colOff>
      <xdr:row>52</xdr:row>
      <xdr:rowOff>89280</xdr:rowOff>
    </xdr:to>
    <xdr:graphicFrame>
      <xdr:nvGraphicFramePr>
        <xdr:cNvPr id="3" name="Chart 1"/>
        <xdr:cNvGraphicFramePr/>
      </xdr:nvGraphicFramePr>
      <xdr:xfrm>
        <a:off x="0" y="723888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/>
      <c r="C5" s="4"/>
      <c r="D5" s="4"/>
    </row>
    <row r="6" customFormat="false" ht="15" hidden="false" customHeight="false" outlineLevel="0" collapsed="false">
      <c r="A6" s="5" t="s">
        <v>4</v>
      </c>
      <c r="B6" s="5"/>
      <c r="C6" s="5"/>
      <c r="D6" s="5"/>
    </row>
    <row r="7" customFormat="false" ht="15" hidden="false" customHeight="false" outlineLevel="0" collapsed="false">
      <c r="A7" s="6" t="s">
        <v>5</v>
      </c>
      <c r="B7" s="6"/>
      <c r="C7" s="6"/>
      <c r="D7" s="6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7" t="s">
        <v>7</v>
      </c>
    </row>
    <row r="11" customFormat="false" ht="15" hidden="false" customHeight="false" outlineLevel="0" collapsed="false">
      <c r="A11" s="7" t="s">
        <v>8</v>
      </c>
    </row>
    <row r="12" customFormat="false" ht="15" hidden="false" customHeight="false" outlineLevel="0" collapsed="false">
      <c r="A12" s="7" t="s">
        <v>9</v>
      </c>
    </row>
    <row r="13" customFormat="false" ht="15" hidden="false" customHeight="false" outlineLevel="0" collapsed="false">
      <c r="A13" s="7" t="s">
        <v>10</v>
      </c>
    </row>
    <row r="14" customFormat="false" ht="15" hidden="false" customHeight="false" outlineLevel="0" collapsed="false">
      <c r="A14" s="7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8" t="s">
        <v>13</v>
      </c>
      <c r="B17" s="7" t="s">
        <v>14</v>
      </c>
    </row>
    <row r="18" customFormat="false" ht="15" hidden="false" customHeight="false" outlineLevel="0" collapsed="false">
      <c r="A18" s="8" t="s">
        <v>15</v>
      </c>
      <c r="B18" s="7" t="s">
        <v>16</v>
      </c>
    </row>
    <row r="19" customFormat="false" ht="15" hidden="false" customHeight="false" outlineLevel="0" collapsed="false">
      <c r="A19" s="8" t="s">
        <v>17</v>
      </c>
      <c r="B19" s="7" t="s">
        <v>18</v>
      </c>
    </row>
    <row r="20" customFormat="false" ht="15" hidden="false" customHeight="false" outlineLevel="0" collapsed="false">
      <c r="A20" s="8" t="s">
        <v>19</v>
      </c>
      <c r="B20" s="7" t="s">
        <v>20</v>
      </c>
    </row>
    <row r="21" customFormat="false" ht="15" hidden="false" customHeight="false" outlineLevel="0" collapsed="false">
      <c r="A21" s="8" t="s">
        <v>21</v>
      </c>
      <c r="B21" s="7" t="s">
        <v>22</v>
      </c>
    </row>
    <row r="22" customFormat="false" ht="15" hidden="false" customHeight="false" outlineLevel="0" collapsed="false">
      <c r="A22" s="8" t="s">
        <v>23</v>
      </c>
      <c r="B22" s="7" t="s">
        <v>24</v>
      </c>
    </row>
    <row r="24" customFormat="false" ht="15" hidden="false" customHeight="false" outlineLevel="0" collapsed="false">
      <c r="A24" s="3" t="s">
        <v>25</v>
      </c>
    </row>
    <row r="25" customFormat="false" ht="15" hidden="false" customHeight="false" outlineLevel="0" collapsed="false">
      <c r="A25" s="7" t="s">
        <v>26</v>
      </c>
    </row>
    <row r="26" customFormat="false" ht="15" hidden="false" customHeight="false" outlineLevel="0" collapsed="false">
      <c r="A26" s="7" t="s">
        <v>27</v>
      </c>
    </row>
    <row r="27" customFormat="false" ht="15" hidden="false" customHeight="false" outlineLevel="0" collapsed="false">
      <c r="A27" s="7" t="s">
        <v>28</v>
      </c>
    </row>
  </sheetData>
  <mergeCells count="4">
    <mergeCell ref="A2:E2"/>
    <mergeCell ref="A5:D5"/>
    <mergeCell ref="A6:D6"/>
    <mergeCell ref="A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4" min="4" style="0" width="24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0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true" outlineLevel="0" collapsed="false">
      <c r="A2" s="2" t="s">
        <v>30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31</v>
      </c>
      <c r="B4" s="4" t="s">
        <v>32</v>
      </c>
    </row>
    <row r="5" customFormat="false" ht="15" hidden="false" customHeight="false" outlineLevel="0" collapsed="false">
      <c r="A5" s="3" t="s">
        <v>33</v>
      </c>
      <c r="B5" s="4" t="s">
        <v>34</v>
      </c>
    </row>
    <row r="7" customFormat="false" ht="15" hidden="false" customHeight="false" outlineLevel="0" collapsed="false">
      <c r="A7" s="8" t="s">
        <v>35</v>
      </c>
    </row>
    <row r="8" customFormat="false" ht="15" hidden="false" customHeight="false" outlineLevel="0" collapsed="false">
      <c r="A8" s="9" t="s">
        <v>36</v>
      </c>
      <c r="B8" s="5" t="str">
        <f aca="false">INDEX($E$21:$L$28,MATCH($B$4,$D$21:$D$28,0),1)</f>
        <v>Defect</v>
      </c>
    </row>
    <row r="9" customFormat="false" ht="15" hidden="false" customHeight="false" outlineLevel="0" collapsed="false">
      <c r="A9" s="9" t="s">
        <v>37</v>
      </c>
      <c r="B9" s="5" t="str">
        <f aca="false">INDEX($E$21:$L$28,MATCH($B$4,$D$21:$D$28,0),2)</f>
        <v>Line</v>
      </c>
    </row>
    <row r="10" customFormat="false" ht="15" hidden="false" customHeight="false" outlineLevel="0" collapsed="false">
      <c r="A10" s="9" t="s">
        <v>38</v>
      </c>
      <c r="B10" s="5" t="str">
        <f aca="false">INDEX($E$21:$L$28,MATCH($B$4,$D$21:$D$28,0),3)</f>
        <v>Unit</v>
      </c>
    </row>
    <row r="11" customFormat="false" ht="15" hidden="false" customHeight="false" outlineLevel="0" collapsed="false">
      <c r="A11" s="9" t="s">
        <v>39</v>
      </c>
      <c r="B11" s="5" t="str">
        <f aca="false">INDEX($E$21:$L$28,MATCH($B$4,$D$21:$D$28,0),4)</f>
        <v>IATF 16949</v>
      </c>
    </row>
    <row r="12" customFormat="false" ht="15" hidden="false" customHeight="false" outlineLevel="0" collapsed="false">
      <c r="A12" s="9" t="s">
        <v>40</v>
      </c>
      <c r="B12" s="5" t="n">
        <f aca="false">INDEX($E$21:$L$28,MATCH($B$4,$D$21:$D$28,0),5)</f>
        <v>1.33</v>
      </c>
    </row>
    <row r="13" customFormat="false" ht="15" hidden="false" customHeight="false" outlineLevel="0" collapsed="false">
      <c r="A13" s="9" t="s">
        <v>41</v>
      </c>
      <c r="B13" s="5" t="n">
        <f aca="false">INDEX($E$21:$L$28,MATCH($B$4,$D$21:$D$28,0),6)</f>
        <v>0.85</v>
      </c>
    </row>
    <row r="14" customFormat="false" ht="15" hidden="false" customHeight="false" outlineLevel="0" collapsed="false">
      <c r="A14" s="9" t="s">
        <v>42</v>
      </c>
      <c r="B14" s="5" t="n">
        <f aca="false">INDEX($E$21:$L$28,MATCH($B$4,$D$21:$D$28,0),7)</f>
        <v>3</v>
      </c>
    </row>
    <row r="15" customFormat="false" ht="15" hidden="false" customHeight="false" outlineLevel="0" collapsed="false">
      <c r="A15" s="9" t="s">
        <v>43</v>
      </c>
      <c r="B15" s="5" t="n">
        <f aca="false">INDEX($E$21:$L$28,MATCH($B$4,$D$21:$D$28,0),8)</f>
        <v>100</v>
      </c>
    </row>
    <row r="17" customFormat="false" ht="15" hidden="false" customHeight="false" outlineLevel="0" collapsed="false">
      <c r="A17" s="10" t="s">
        <v>44</v>
      </c>
    </row>
    <row r="19" customFormat="false" ht="15" hidden="false" customHeight="false" outlineLevel="0" collapsed="false">
      <c r="D19" s="8" t="s">
        <v>45</v>
      </c>
    </row>
    <row r="20" customFormat="false" ht="15" hidden="false" customHeight="false" outlineLevel="0" collapsed="false">
      <c r="D20" s="11" t="s">
        <v>31</v>
      </c>
      <c r="E20" s="11" t="s">
        <v>36</v>
      </c>
      <c r="F20" s="11" t="s">
        <v>37</v>
      </c>
      <c r="G20" s="11" t="s">
        <v>38</v>
      </c>
      <c r="H20" s="11" t="s">
        <v>39</v>
      </c>
      <c r="I20" s="11" t="s">
        <v>46</v>
      </c>
      <c r="J20" s="11" t="s">
        <v>41</v>
      </c>
      <c r="K20" s="11" t="s">
        <v>47</v>
      </c>
      <c r="L20" s="11" t="s">
        <v>48</v>
      </c>
    </row>
    <row r="21" customFormat="false" ht="15" hidden="false" customHeight="false" outlineLevel="0" collapsed="false">
      <c r="D21" s="12" t="s">
        <v>49</v>
      </c>
      <c r="E21" s="12" t="s">
        <v>50</v>
      </c>
      <c r="F21" s="12" t="s">
        <v>51</v>
      </c>
      <c r="G21" s="12" t="s">
        <v>52</v>
      </c>
      <c r="H21" s="12" t="s">
        <v>53</v>
      </c>
      <c r="I21" s="12" t="n">
        <v>1.33</v>
      </c>
      <c r="J21" s="12" t="n">
        <v>0.85</v>
      </c>
      <c r="K21" s="12" t="n">
        <v>3</v>
      </c>
      <c r="L21" s="12" t="n">
        <v>100</v>
      </c>
    </row>
    <row r="22" customFormat="false" ht="15" hidden="false" customHeight="false" outlineLevel="0" collapsed="false">
      <c r="D22" s="12" t="s">
        <v>32</v>
      </c>
      <c r="E22" s="12" t="s">
        <v>50</v>
      </c>
      <c r="F22" s="12" t="s">
        <v>51</v>
      </c>
      <c r="G22" s="12" t="s">
        <v>52</v>
      </c>
      <c r="H22" s="12" t="s">
        <v>54</v>
      </c>
      <c r="I22" s="12" t="n">
        <v>1.33</v>
      </c>
      <c r="J22" s="12" t="n">
        <v>0.85</v>
      </c>
      <c r="K22" s="12" t="n">
        <v>3</v>
      </c>
      <c r="L22" s="12" t="n">
        <v>100</v>
      </c>
    </row>
    <row r="23" customFormat="false" ht="15" hidden="false" customHeight="false" outlineLevel="0" collapsed="false">
      <c r="D23" s="12" t="s">
        <v>55</v>
      </c>
      <c r="E23" s="12" t="s">
        <v>56</v>
      </c>
      <c r="F23" s="12" t="s">
        <v>51</v>
      </c>
      <c r="G23" s="12" t="s">
        <v>52</v>
      </c>
      <c r="H23" s="12" t="s">
        <v>57</v>
      </c>
      <c r="I23" s="12" t="n">
        <v>1.67</v>
      </c>
      <c r="J23" s="12" t="n">
        <v>0.85</v>
      </c>
      <c r="K23" s="12" t="n">
        <v>2</v>
      </c>
      <c r="L23" s="12" t="n">
        <v>80</v>
      </c>
    </row>
    <row r="24" customFormat="false" ht="15" hidden="false" customHeight="false" outlineLevel="0" collapsed="false">
      <c r="D24" s="12" t="s">
        <v>58</v>
      </c>
      <c r="E24" s="12" t="s">
        <v>59</v>
      </c>
      <c r="F24" s="12" t="s">
        <v>60</v>
      </c>
      <c r="G24" s="12" t="s">
        <v>61</v>
      </c>
      <c r="H24" s="12" t="s">
        <v>62</v>
      </c>
      <c r="I24" s="12" t="n">
        <v>1.33</v>
      </c>
      <c r="J24" s="12" t="n">
        <v>0.85</v>
      </c>
      <c r="K24" s="12" t="n">
        <v>3</v>
      </c>
      <c r="L24" s="12" t="n">
        <v>100</v>
      </c>
    </row>
    <row r="25" customFormat="false" ht="15" hidden="false" customHeight="false" outlineLevel="0" collapsed="false">
      <c r="D25" s="12" t="s">
        <v>63</v>
      </c>
      <c r="E25" s="12" t="s">
        <v>59</v>
      </c>
      <c r="F25" s="12" t="s">
        <v>51</v>
      </c>
      <c r="G25" s="12" t="s">
        <v>64</v>
      </c>
      <c r="H25" s="12" t="s">
        <v>65</v>
      </c>
      <c r="I25" s="12" t="n">
        <v>1.67</v>
      </c>
      <c r="J25" s="12" t="n">
        <v>0.85</v>
      </c>
      <c r="K25" s="12" t="n">
        <v>2</v>
      </c>
      <c r="L25" s="12" t="n">
        <v>80</v>
      </c>
    </row>
    <row r="26" customFormat="false" ht="15" hidden="false" customHeight="false" outlineLevel="0" collapsed="false">
      <c r="D26" s="12" t="s">
        <v>66</v>
      </c>
      <c r="E26" s="12" t="s">
        <v>50</v>
      </c>
      <c r="F26" s="12" t="s">
        <v>67</v>
      </c>
      <c r="G26" s="12" t="s">
        <v>68</v>
      </c>
      <c r="H26" s="12" t="s">
        <v>53</v>
      </c>
      <c r="I26" s="12" t="n">
        <v>1.33</v>
      </c>
      <c r="J26" s="12" t="n">
        <v>0.85</v>
      </c>
      <c r="K26" s="12" t="n">
        <v>3</v>
      </c>
      <c r="L26" s="12" t="n">
        <v>100</v>
      </c>
    </row>
    <row r="27" customFormat="false" ht="15" hidden="false" customHeight="false" outlineLevel="0" collapsed="false">
      <c r="D27" s="12" t="s">
        <v>69</v>
      </c>
      <c r="E27" s="12" t="s">
        <v>70</v>
      </c>
      <c r="F27" s="12" t="s">
        <v>71</v>
      </c>
      <c r="G27" s="12" t="s">
        <v>72</v>
      </c>
      <c r="H27" s="12" t="s">
        <v>53</v>
      </c>
      <c r="I27" s="12" t="n">
        <v>1.33</v>
      </c>
      <c r="J27" s="12" t="n">
        <v>0.75</v>
      </c>
      <c r="K27" s="12" t="n">
        <v>3</v>
      </c>
      <c r="L27" s="12" t="n">
        <v>100</v>
      </c>
    </row>
    <row r="28" customFormat="false" ht="15" hidden="false" customHeight="false" outlineLevel="0" collapsed="false">
      <c r="D28" s="12" t="s">
        <v>73</v>
      </c>
      <c r="E28" s="12" t="s">
        <v>74</v>
      </c>
      <c r="F28" s="12" t="s">
        <v>75</v>
      </c>
      <c r="G28" s="12" t="s">
        <v>76</v>
      </c>
      <c r="H28" s="12" t="s">
        <v>53</v>
      </c>
      <c r="I28" s="12" t="n">
        <v>1.33</v>
      </c>
      <c r="J28" s="12" t="n">
        <v>0.75</v>
      </c>
      <c r="K28" s="12" t="n">
        <v>3</v>
      </c>
      <c r="L28" s="12" t="n">
        <v>100</v>
      </c>
    </row>
  </sheetData>
  <mergeCells count="1">
    <mergeCell ref="A2:F2"/>
  </mergeCells>
  <dataValidations count="2">
    <dataValidation allowBlank="false" errorStyle="stop" operator="between" showDropDown="false" showErrorMessage="false" showInputMessage="false" sqref="B4" type="list">
      <formula1>"General manufacturing,Automotive,Aerospace &amp; defense,Food &amp; beverage,Pharma / medical device,Electronics,Warehouse &amp; logistics,Construction"</formula1>
      <formula2>0</formula2>
    </dataValidation>
    <dataValidation allowBlank="false" errorStyle="stop" operator="between" showDropDown="false" showErrorMessage="false" showInputMessage="false" sqref="B5" type="list">
      <formula1>"Discrete assembly,Batch production,Continuous process,Job shop,Service / transactional"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5" min="4" style="0" width="40"/>
  </cols>
  <sheetData>
    <row r="1" customFormat="false" ht="17.35" hidden="false" customHeight="false" outlineLevel="0" collapsed="false">
      <c r="A1" s="1" t="s">
        <v>77</v>
      </c>
    </row>
    <row r="2" customFormat="false" ht="15" hidden="false" customHeight="true" outlineLevel="0" collapsed="false">
      <c r="A2" s="2" t="s">
        <v>78</v>
      </c>
      <c r="B2" s="2"/>
      <c r="C2" s="2"/>
      <c r="D2" s="2"/>
      <c r="E2" s="2"/>
    </row>
    <row r="4" customFormat="false" ht="15" hidden="false" customHeight="false" outlineLevel="0" collapsed="false">
      <c r="A4" s="11" t="s">
        <v>79</v>
      </c>
      <c r="B4" s="11" t="s">
        <v>80</v>
      </c>
      <c r="C4" s="11" t="s">
        <v>81</v>
      </c>
      <c r="D4" s="11" t="s">
        <v>82</v>
      </c>
      <c r="E4" s="11" t="s">
        <v>83</v>
      </c>
    </row>
    <row r="5" customFormat="false" ht="42" hidden="false" customHeight="true" outlineLevel="0" collapsed="false">
      <c r="A5" s="8" t="s">
        <v>84</v>
      </c>
      <c r="B5" s="13" t="s">
        <v>85</v>
      </c>
      <c r="C5" s="7" t="s">
        <v>86</v>
      </c>
      <c r="D5" s="13" t="s">
        <v>87</v>
      </c>
      <c r="E5" s="4"/>
    </row>
    <row r="6" customFormat="false" ht="42" hidden="false" customHeight="true" outlineLevel="0" collapsed="false">
      <c r="A6" s="8" t="s">
        <v>88</v>
      </c>
      <c r="B6" s="13" t="s">
        <v>89</v>
      </c>
      <c r="C6" s="7" t="s">
        <v>90</v>
      </c>
      <c r="D6" s="13" t="s">
        <v>91</v>
      </c>
      <c r="E6" s="4"/>
    </row>
    <row r="7" customFormat="false" ht="42" hidden="false" customHeight="true" outlineLevel="0" collapsed="false">
      <c r="A7" s="8" t="s">
        <v>92</v>
      </c>
      <c r="B7" s="13" t="s">
        <v>93</v>
      </c>
      <c r="C7" s="7" t="s">
        <v>21</v>
      </c>
      <c r="D7" s="13" t="s">
        <v>94</v>
      </c>
      <c r="E7" s="4"/>
    </row>
    <row r="8" customFormat="false" ht="42" hidden="false" customHeight="true" outlineLevel="0" collapsed="false">
      <c r="A8" s="8" t="s">
        <v>95</v>
      </c>
      <c r="B8" s="13" t="s">
        <v>96</v>
      </c>
      <c r="C8" s="7" t="s">
        <v>17</v>
      </c>
      <c r="D8" s="13" t="s">
        <v>97</v>
      </c>
      <c r="E8" s="4"/>
    </row>
    <row r="9" customFormat="false" ht="42" hidden="false" customHeight="true" outlineLevel="0" collapsed="false">
      <c r="A9" s="8" t="s">
        <v>98</v>
      </c>
      <c r="B9" s="13" t="s">
        <v>99</v>
      </c>
      <c r="C9" s="7" t="s">
        <v>17</v>
      </c>
      <c r="D9" s="13" t="s">
        <v>100</v>
      </c>
      <c r="E9" s="4"/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7" min="3" style="0" width="7"/>
    <col collapsed="false" customWidth="true" hidden="false" outlineLevel="0" max="14" min="8" style="0" width="8"/>
    <col collapsed="false" customWidth="true" hidden="false" outlineLevel="0" max="16" min="15" style="0" width="6"/>
    <col collapsed="false" customWidth="true" hidden="false" outlineLevel="0" max="18" min="18" style="0" width="5"/>
    <col collapsed="false" customWidth="true" hidden="false" outlineLevel="0" max="22" min="19" style="0" width="7"/>
  </cols>
  <sheetData>
    <row r="1" customFormat="false" ht="17.35" hidden="false" customHeight="false" outlineLevel="0" collapsed="false">
      <c r="A1" s="1" t="s">
        <v>101</v>
      </c>
    </row>
    <row r="2" customFormat="false" ht="15" hidden="false" customHeight="false" outlineLevel="0" collapsed="false">
      <c r="R2" s="8" t="s">
        <v>102</v>
      </c>
    </row>
    <row r="3" customFormat="false" ht="15" hidden="false" customHeight="false" outlineLevel="0" collapsed="false">
      <c r="A3" s="8" t="s">
        <v>103</v>
      </c>
      <c r="B3" s="4" t="n">
        <v>5</v>
      </c>
      <c r="R3" s="7" t="s">
        <v>104</v>
      </c>
      <c r="S3" s="5" t="n">
        <f aca="false">IF(COUNT($H$9:$H$38)=0,"",AVERAGE($H$9:$H$38))</f>
        <v>10.00309</v>
      </c>
    </row>
    <row r="4" customFormat="false" ht="15" hidden="false" customHeight="false" outlineLevel="0" collapsed="false">
      <c r="A4" s="10" t="s">
        <v>105</v>
      </c>
      <c r="R4" s="7" t="s">
        <v>106</v>
      </c>
      <c r="S4" s="5" t="n">
        <f aca="false">IF(COUNT($I$9:$I$38)=0,"",AVERAGE($I$9:$I$38))</f>
        <v>0.0206499999999997</v>
      </c>
    </row>
    <row r="5" customFormat="false" ht="15" hidden="false" customHeight="false" outlineLevel="0" collapsed="false">
      <c r="R5" s="7" t="s">
        <v>107</v>
      </c>
      <c r="S5" s="5" t="n">
        <f aca="false">INDEX($S$17:$S$25,MATCH($B$3,$R$17:$R$25,0))</f>
        <v>0.577</v>
      </c>
    </row>
    <row r="6" customFormat="false" ht="15" hidden="false" customHeight="false" outlineLevel="0" collapsed="false">
      <c r="R6" s="7" t="s">
        <v>108</v>
      </c>
      <c r="S6" s="5" t="n">
        <f aca="false">INDEX($T$17:$T$25,MATCH($B$3,$R$17:$R$25,0))</f>
        <v>0</v>
      </c>
    </row>
    <row r="7" customFormat="false" ht="15" hidden="false" customHeight="false" outlineLevel="0" collapsed="false">
      <c r="R7" s="7" t="s">
        <v>109</v>
      </c>
      <c r="S7" s="5" t="n">
        <f aca="false">INDEX($U$17:$U$25,MATCH($B$3,$R$17:$R$25,0))</f>
        <v>2.114</v>
      </c>
    </row>
    <row r="8" customFormat="false" ht="15" hidden="false" customHeight="false" outlineLevel="0" collapsed="false">
      <c r="A8" s="11" t="s">
        <v>110</v>
      </c>
      <c r="B8" s="11" t="s">
        <v>111</v>
      </c>
      <c r="C8" s="11" t="s">
        <v>112</v>
      </c>
      <c r="D8" s="11" t="s">
        <v>113</v>
      </c>
      <c r="E8" s="11" t="s">
        <v>114</v>
      </c>
      <c r="F8" s="11" t="s">
        <v>115</v>
      </c>
      <c r="G8" s="11" t="s">
        <v>116</v>
      </c>
      <c r="H8" s="11" t="s">
        <v>117</v>
      </c>
      <c r="I8" s="11" t="s">
        <v>118</v>
      </c>
      <c r="J8" s="11" t="s">
        <v>119</v>
      </c>
      <c r="K8" s="11" t="s">
        <v>120</v>
      </c>
      <c r="L8" s="11" t="s">
        <v>121</v>
      </c>
      <c r="M8" s="11" t="s">
        <v>122</v>
      </c>
      <c r="N8" s="11" t="s">
        <v>123</v>
      </c>
      <c r="O8" s="11" t="s">
        <v>124</v>
      </c>
      <c r="P8" s="11" t="s">
        <v>125</v>
      </c>
      <c r="R8" s="7" t="s">
        <v>126</v>
      </c>
      <c r="S8" s="5" t="n">
        <f aca="false">INDEX($V$17:$V$25,MATCH($B$3,$R$17:$R$25,0))</f>
        <v>2.326</v>
      </c>
    </row>
    <row r="9" customFormat="false" ht="15" hidden="false" customHeight="false" outlineLevel="0" collapsed="false">
      <c r="A9" s="4" t="n">
        <v>1</v>
      </c>
      <c r="B9" s="4" t="s">
        <v>127</v>
      </c>
      <c r="C9" s="4" t="n">
        <v>9.999</v>
      </c>
      <c r="D9" s="4" t="n">
        <v>9.998</v>
      </c>
      <c r="E9" s="4" t="n">
        <v>9.999</v>
      </c>
      <c r="F9" s="4" t="n">
        <v>10.007</v>
      </c>
      <c r="G9" s="4" t="n">
        <v>9.999</v>
      </c>
      <c r="H9" s="5" t="n">
        <f aca="false">IF(COUNT(C9:G9)=0,"",AVERAGE(C9:G9))</f>
        <v>10.0004</v>
      </c>
      <c r="I9" s="5" t="n">
        <f aca="false">IF(COUNT(C9:G9)=0,"",MAX(C9:G9)-MIN(C9:G9))</f>
        <v>0.00900000000000034</v>
      </c>
      <c r="J9" s="5" t="n">
        <f aca="false">IF(ISNUMBER($H9),$S$3,"")</f>
        <v>10.00309</v>
      </c>
      <c r="K9" s="5" t="n">
        <f aca="false">IF(ISNUMBER($H9),$S$9,"")</f>
        <v>10.01500505</v>
      </c>
      <c r="L9" s="5" t="n">
        <f aca="false">IF(ISNUMBER($H9),$S$10,"")</f>
        <v>9.99117495</v>
      </c>
      <c r="M9" s="5" t="n">
        <f aca="false">IF(ISNUMBER($I9),$S$11,"")</f>
        <v>0.0436540999999993</v>
      </c>
      <c r="N9" s="5" t="n">
        <f aca="false">IF(ISNUMBER($I9),$S$12,"")</f>
        <v>0</v>
      </c>
      <c r="O9" s="5" t="str">
        <f aca="false">IF(ISNUMBER($H9),IF(OR($H9&gt;$S$9,$H9&lt;$S$10),"WE1",""),"")</f>
        <v/>
      </c>
      <c r="R9" s="7" t="s">
        <v>120</v>
      </c>
      <c r="S9" s="5" t="n">
        <f aca="false">IF(OR($S$3="",$S$4=""),"",$S$3+$S$5*$S$4)</f>
        <v>10.01500505</v>
      </c>
    </row>
    <row r="10" customFormat="false" ht="15" hidden="false" customHeight="false" outlineLevel="0" collapsed="false">
      <c r="A10" s="4" t="n">
        <v>2</v>
      </c>
      <c r="B10" s="4" t="s">
        <v>128</v>
      </c>
      <c r="C10" s="4" t="n">
        <v>9.985</v>
      </c>
      <c r="D10" s="4" t="n">
        <v>10.003</v>
      </c>
      <c r="E10" s="4" t="n">
        <v>9.997</v>
      </c>
      <c r="F10" s="4" t="n">
        <v>9.998</v>
      </c>
      <c r="G10" s="4" t="n">
        <v>10.001</v>
      </c>
      <c r="H10" s="5" t="n">
        <f aca="false">IF(COUNT(C10:G10)=0,"",AVERAGE(C10:G10))</f>
        <v>9.9968</v>
      </c>
      <c r="I10" s="5" t="n">
        <f aca="false">IF(COUNT(C10:G10)=0,"",MAX(C10:G10)-MIN(C10:G10))</f>
        <v>0.0180000000000007</v>
      </c>
      <c r="J10" s="5" t="n">
        <f aca="false">IF(ISNUMBER($H10),$S$3,"")</f>
        <v>10.00309</v>
      </c>
      <c r="K10" s="5" t="n">
        <f aca="false">IF(ISNUMBER($H10),$S$9,"")</f>
        <v>10.01500505</v>
      </c>
      <c r="L10" s="5" t="n">
        <f aca="false">IF(ISNUMBER($H10),$S$10,"")</f>
        <v>9.99117495</v>
      </c>
      <c r="M10" s="5" t="n">
        <f aca="false">IF(ISNUMBER($I10),$S$11,"")</f>
        <v>0.0436540999999993</v>
      </c>
      <c r="N10" s="5" t="n">
        <f aca="false">IF(ISNUMBER($I10),$S$12,"")</f>
        <v>0</v>
      </c>
      <c r="O10" s="5" t="str">
        <f aca="false">IF(ISNUMBER($H10),IF(OR($H10&gt;$S$9,$H10&lt;$S$10),"WE1",""),"")</f>
        <v/>
      </c>
      <c r="R10" s="7" t="s">
        <v>121</v>
      </c>
      <c r="S10" s="5" t="n">
        <f aca="false">IF(OR($S$3="",$S$4=""),"",$S$3-$S$5*$S$4)</f>
        <v>9.99117495</v>
      </c>
    </row>
    <row r="11" customFormat="false" ht="15" hidden="false" customHeight="false" outlineLevel="0" collapsed="false">
      <c r="A11" s="4" t="n">
        <v>3</v>
      </c>
      <c r="B11" s="4" t="s">
        <v>129</v>
      </c>
      <c r="C11" s="4" t="n">
        <v>10.002</v>
      </c>
      <c r="D11" s="4" t="n">
        <v>10.012</v>
      </c>
      <c r="E11" s="4" t="n">
        <v>10.007</v>
      </c>
      <c r="F11" s="4" t="n">
        <v>10.001</v>
      </c>
      <c r="G11" s="4" t="n">
        <v>9.993</v>
      </c>
      <c r="H11" s="5" t="n">
        <f aca="false">IF(COUNT(C11:G11)=0,"",AVERAGE(C11:G11))</f>
        <v>10.003</v>
      </c>
      <c r="I11" s="5" t="n">
        <f aca="false">IF(COUNT(C11:G11)=0,"",MAX(C11:G11)-MIN(C11:G11))</f>
        <v>0.0190000000000001</v>
      </c>
      <c r="J11" s="5" t="n">
        <f aca="false">IF(ISNUMBER($H11),$S$3,"")</f>
        <v>10.00309</v>
      </c>
      <c r="K11" s="5" t="n">
        <f aca="false">IF(ISNUMBER($H11),$S$9,"")</f>
        <v>10.01500505</v>
      </c>
      <c r="L11" s="5" t="n">
        <f aca="false">IF(ISNUMBER($H11),$S$10,"")</f>
        <v>9.99117495</v>
      </c>
      <c r="M11" s="5" t="n">
        <f aca="false">IF(ISNUMBER($I11),$S$11,"")</f>
        <v>0.0436540999999993</v>
      </c>
      <c r="N11" s="5" t="n">
        <f aca="false">IF(ISNUMBER($I11),$S$12,"")</f>
        <v>0</v>
      </c>
      <c r="O11" s="5" t="str">
        <f aca="false">IF(ISNUMBER($H11),IF(OR($H11&gt;$S$9,$H11&lt;$S$10),"WE1",""),"")</f>
        <v/>
      </c>
      <c r="R11" s="7" t="s">
        <v>122</v>
      </c>
      <c r="S11" s="5" t="n">
        <f aca="false">IF($S$4="","",$S$7*$S$4)</f>
        <v>0.0436540999999993</v>
      </c>
    </row>
    <row r="12" customFormat="false" ht="15" hidden="false" customHeight="false" outlineLevel="0" collapsed="false">
      <c r="A12" s="4" t="n">
        <v>4</v>
      </c>
      <c r="B12" s="4" t="s">
        <v>130</v>
      </c>
      <c r="C12" s="4" t="n">
        <v>9.99</v>
      </c>
      <c r="D12" s="4" t="n">
        <v>10.002</v>
      </c>
      <c r="E12" s="4" t="n">
        <v>10.013</v>
      </c>
      <c r="F12" s="4" t="n">
        <v>10</v>
      </c>
      <c r="G12" s="4" t="n">
        <v>9.999</v>
      </c>
      <c r="H12" s="5" t="n">
        <f aca="false">IF(COUNT(C12:G12)=0,"",AVERAGE(C12:G12))</f>
        <v>10.0008</v>
      </c>
      <c r="I12" s="5" t="n">
        <f aca="false">IF(COUNT(C12:G12)=0,"",MAX(C12:G12)-MIN(C12:G12))</f>
        <v>0.0229999999999997</v>
      </c>
      <c r="J12" s="5" t="n">
        <f aca="false">IF(ISNUMBER($H12),$S$3,"")</f>
        <v>10.00309</v>
      </c>
      <c r="K12" s="5" t="n">
        <f aca="false">IF(ISNUMBER($H12),$S$9,"")</f>
        <v>10.01500505</v>
      </c>
      <c r="L12" s="5" t="n">
        <f aca="false">IF(ISNUMBER($H12),$S$10,"")</f>
        <v>9.99117495</v>
      </c>
      <c r="M12" s="5" t="n">
        <f aca="false">IF(ISNUMBER($I12),$S$11,"")</f>
        <v>0.0436540999999993</v>
      </c>
      <c r="N12" s="5" t="n">
        <f aca="false">IF(ISNUMBER($I12),$S$12,"")</f>
        <v>0</v>
      </c>
      <c r="O12" s="5" t="str">
        <f aca="false">IF(ISNUMBER($H12),IF(OR($H12&gt;$S$9,$H12&lt;$S$10),"WE1",""),"")</f>
        <v/>
      </c>
      <c r="R12" s="7" t="s">
        <v>123</v>
      </c>
      <c r="S12" s="5" t="n">
        <f aca="false">IF($S$4="","",$S$6*$S$4)</f>
        <v>0</v>
      </c>
    </row>
    <row r="13" customFormat="false" ht="15" hidden="false" customHeight="false" outlineLevel="0" collapsed="false">
      <c r="A13" s="4" t="n">
        <v>5</v>
      </c>
      <c r="B13" s="4" t="s">
        <v>131</v>
      </c>
      <c r="C13" s="4" t="n">
        <v>10.005</v>
      </c>
      <c r="D13" s="4" t="n">
        <v>9.985</v>
      </c>
      <c r="E13" s="4" t="n">
        <v>9.997</v>
      </c>
      <c r="F13" s="4" t="n">
        <v>10.005</v>
      </c>
      <c r="G13" s="4" t="n">
        <v>10.009</v>
      </c>
      <c r="H13" s="5" t="n">
        <f aca="false">IF(COUNT(C13:G13)=0,"",AVERAGE(C13:G13))</f>
        <v>10.0002</v>
      </c>
      <c r="I13" s="5" t="n">
        <f aca="false">IF(COUNT(C13:G13)=0,"",MAX(C13:G13)-MIN(C13:G13))</f>
        <v>0.0240000000000009</v>
      </c>
      <c r="J13" s="5" t="n">
        <f aca="false">IF(ISNUMBER($H13),$S$3,"")</f>
        <v>10.00309</v>
      </c>
      <c r="K13" s="5" t="n">
        <f aca="false">IF(ISNUMBER($H13),$S$9,"")</f>
        <v>10.01500505</v>
      </c>
      <c r="L13" s="5" t="n">
        <f aca="false">IF(ISNUMBER($H13),$S$10,"")</f>
        <v>9.99117495</v>
      </c>
      <c r="M13" s="5" t="n">
        <f aca="false">IF(ISNUMBER($I13),$S$11,"")</f>
        <v>0.0436540999999993</v>
      </c>
      <c r="N13" s="5" t="n">
        <f aca="false">IF(ISNUMBER($I13),$S$12,"")</f>
        <v>0</v>
      </c>
      <c r="O13" s="5" t="str">
        <f aca="false">IF(ISNUMBER($H13),IF(OR($H13&gt;$S$9,$H13&lt;$S$10),"WE1",""),"")</f>
        <v/>
      </c>
      <c r="R13" s="7" t="s">
        <v>132</v>
      </c>
      <c r="S13" s="5" t="n">
        <f aca="false">IF($S$4="","",$S$4/$S$8)</f>
        <v>0.00887790197764388</v>
      </c>
    </row>
    <row r="14" customFormat="false" ht="15" hidden="false" customHeight="false" outlineLevel="0" collapsed="false">
      <c r="A14" s="4" t="n">
        <v>6</v>
      </c>
      <c r="B14" s="4" t="s">
        <v>133</v>
      </c>
      <c r="C14" s="4" t="n">
        <v>9.998</v>
      </c>
      <c r="D14" s="4" t="n">
        <v>10.004</v>
      </c>
      <c r="E14" s="4" t="n">
        <v>10.002</v>
      </c>
      <c r="F14" s="4" t="n">
        <v>10.008</v>
      </c>
      <c r="G14" s="4" t="n">
        <v>9.989</v>
      </c>
      <c r="H14" s="5" t="n">
        <f aca="false">IF(COUNT(C14:G14)=0,"",AVERAGE(C14:G14))</f>
        <v>10.0002</v>
      </c>
      <c r="I14" s="5" t="n">
        <f aca="false">IF(COUNT(C14:G14)=0,"",MAX(C14:G14)-MIN(C14:G14))</f>
        <v>0.0189999999999984</v>
      </c>
      <c r="J14" s="5" t="n">
        <f aca="false">IF(ISNUMBER($H14),$S$3,"")</f>
        <v>10.00309</v>
      </c>
      <c r="K14" s="5" t="n">
        <f aca="false">IF(ISNUMBER($H14),$S$9,"")</f>
        <v>10.01500505</v>
      </c>
      <c r="L14" s="5" t="n">
        <f aca="false">IF(ISNUMBER($H14),$S$10,"")</f>
        <v>9.99117495</v>
      </c>
      <c r="M14" s="5" t="n">
        <f aca="false">IF(ISNUMBER($I14),$S$11,"")</f>
        <v>0.0436540999999993</v>
      </c>
      <c r="N14" s="5" t="n">
        <f aca="false">IF(ISNUMBER($I14),$S$12,"")</f>
        <v>0</v>
      </c>
      <c r="O14" s="5" t="str">
        <f aca="false">IF(ISNUMBER($H14),IF(OR($H14&gt;$S$9,$H14&lt;$S$10),"WE1",""),"")</f>
        <v/>
      </c>
    </row>
    <row r="15" customFormat="false" ht="15" hidden="false" customHeight="false" outlineLevel="0" collapsed="false">
      <c r="A15" s="4" t="n">
        <v>7</v>
      </c>
      <c r="B15" s="4" t="s">
        <v>134</v>
      </c>
      <c r="C15" s="4" t="n">
        <v>10.006</v>
      </c>
      <c r="D15" s="4" t="n">
        <v>9.985</v>
      </c>
      <c r="E15" s="4" t="n">
        <v>9.974</v>
      </c>
      <c r="F15" s="4" t="n">
        <v>9.994</v>
      </c>
      <c r="G15" s="4" t="n">
        <v>9.991</v>
      </c>
      <c r="H15" s="5" t="n">
        <f aca="false">IF(COUNT(C15:G15)=0,"",AVERAGE(C15:G15))</f>
        <v>9.99</v>
      </c>
      <c r="I15" s="5" t="n">
        <f aca="false">IF(COUNT(C15:G15)=0,"",MAX(C15:G15)-MIN(C15:G15))</f>
        <v>0.032</v>
      </c>
      <c r="J15" s="5" t="n">
        <f aca="false">IF(ISNUMBER($H15),$S$3,"")</f>
        <v>10.00309</v>
      </c>
      <c r="K15" s="5" t="n">
        <f aca="false">IF(ISNUMBER($H15),$S$9,"")</f>
        <v>10.01500505</v>
      </c>
      <c r="L15" s="5" t="n">
        <f aca="false">IF(ISNUMBER($H15),$S$10,"")</f>
        <v>9.99117495</v>
      </c>
      <c r="M15" s="5" t="n">
        <f aca="false">IF(ISNUMBER($I15),$S$11,"")</f>
        <v>0.0436540999999993</v>
      </c>
      <c r="N15" s="5" t="n">
        <f aca="false">IF(ISNUMBER($I15),$S$12,"")</f>
        <v>0</v>
      </c>
      <c r="O15" s="5" t="str">
        <f aca="false">IF(ISNUMBER($H15),IF(OR($H15&gt;$S$9,$H15&lt;$S$10),"WE1",""),"")</f>
        <v>WE1</v>
      </c>
    </row>
    <row r="16" customFormat="false" ht="15" hidden="false" customHeight="false" outlineLevel="0" collapsed="false">
      <c r="A16" s="4" t="n">
        <v>8</v>
      </c>
      <c r="B16" s="4" t="s">
        <v>135</v>
      </c>
      <c r="C16" s="4" t="n">
        <v>10.009</v>
      </c>
      <c r="D16" s="4" t="n">
        <v>10.007</v>
      </c>
      <c r="E16" s="4" t="n">
        <v>9.988</v>
      </c>
      <c r="F16" s="4" t="n">
        <v>10.008</v>
      </c>
      <c r="G16" s="4" t="n">
        <v>9.99</v>
      </c>
      <c r="H16" s="5" t="n">
        <f aca="false">IF(COUNT(C16:G16)=0,"",AVERAGE(C16:G16))</f>
        <v>10.0004</v>
      </c>
      <c r="I16" s="5" t="n">
        <f aca="false">IF(COUNT(C16:G16)=0,"",MAX(C16:G16)-MIN(C16:G16))</f>
        <v>0.0210000000000008</v>
      </c>
      <c r="J16" s="5" t="n">
        <f aca="false">IF(ISNUMBER($H16),$S$3,"")</f>
        <v>10.00309</v>
      </c>
      <c r="K16" s="5" t="n">
        <f aca="false">IF(ISNUMBER($H16),$S$9,"")</f>
        <v>10.01500505</v>
      </c>
      <c r="L16" s="5" t="n">
        <f aca="false">IF(ISNUMBER($H16),$S$10,"")</f>
        <v>9.99117495</v>
      </c>
      <c r="M16" s="5" t="n">
        <f aca="false">IF(ISNUMBER($I16),$S$11,"")</f>
        <v>0.0436540999999993</v>
      </c>
      <c r="N16" s="5" t="n">
        <f aca="false">IF(ISNUMBER($I16),$S$12,"")</f>
        <v>0</v>
      </c>
      <c r="O16" s="5" t="str">
        <f aca="false">IF(ISNUMBER($H16),IF(OR($H16&gt;$S$9,$H16&lt;$S$10),"WE1",""),"")</f>
        <v/>
      </c>
      <c r="P16" s="5" t="str">
        <f aca="false">IF(COUNT(H9:H16)=8,IF(OR(COUNTIF(H9:H16,"&gt;"&amp;$S$3)=8,COUNTIF(H9:H16,"&lt;"&amp;$S$3)=8),"WE4",""),"")</f>
        <v>WE4</v>
      </c>
      <c r="R16" s="11" t="s">
        <v>136</v>
      </c>
      <c r="S16" s="11" t="s">
        <v>107</v>
      </c>
      <c r="T16" s="11" t="s">
        <v>108</v>
      </c>
      <c r="U16" s="11" t="s">
        <v>109</v>
      </c>
      <c r="V16" s="11" t="s">
        <v>126</v>
      </c>
    </row>
    <row r="17" customFormat="false" ht="15" hidden="false" customHeight="false" outlineLevel="0" collapsed="false">
      <c r="A17" s="4" t="n">
        <v>9</v>
      </c>
      <c r="B17" s="4" t="s">
        <v>137</v>
      </c>
      <c r="C17" s="4" t="n">
        <v>9.999</v>
      </c>
      <c r="D17" s="4" t="n">
        <v>9.997</v>
      </c>
      <c r="E17" s="4" t="n">
        <v>10.001</v>
      </c>
      <c r="F17" s="4" t="n">
        <v>10.008</v>
      </c>
      <c r="G17" s="4" t="n">
        <v>10.006</v>
      </c>
      <c r="H17" s="5" t="n">
        <f aca="false">IF(COUNT(C17:G17)=0,"",AVERAGE(C17:G17))</f>
        <v>10.0022</v>
      </c>
      <c r="I17" s="5" t="n">
        <f aca="false">IF(COUNT(C17:G17)=0,"",MAX(C17:G17)-MIN(C17:G17))</f>
        <v>0.0109999999999992</v>
      </c>
      <c r="J17" s="5" t="n">
        <f aca="false">IF(ISNUMBER($H17),$S$3,"")</f>
        <v>10.00309</v>
      </c>
      <c r="K17" s="5" t="n">
        <f aca="false">IF(ISNUMBER($H17),$S$9,"")</f>
        <v>10.01500505</v>
      </c>
      <c r="L17" s="5" t="n">
        <f aca="false">IF(ISNUMBER($H17),$S$10,"")</f>
        <v>9.99117495</v>
      </c>
      <c r="M17" s="5" t="n">
        <f aca="false">IF(ISNUMBER($I17),$S$11,"")</f>
        <v>0.0436540999999993</v>
      </c>
      <c r="N17" s="5" t="n">
        <f aca="false">IF(ISNUMBER($I17),$S$12,"")</f>
        <v>0</v>
      </c>
      <c r="O17" s="5" t="str">
        <f aca="false">IF(ISNUMBER($H17),IF(OR($H17&gt;$S$9,$H17&lt;$S$10),"WE1",""),"")</f>
        <v/>
      </c>
      <c r="P17" s="5" t="str">
        <f aca="false">IF(COUNT(H10:H17)=8,IF(OR(COUNTIF(H10:H17,"&gt;"&amp;$S$3)=8,COUNTIF(H10:H17,"&lt;"&amp;$S$3)=8),"WE4",""),"")</f>
        <v>WE4</v>
      </c>
      <c r="R17" s="14" t="n">
        <v>2</v>
      </c>
      <c r="S17" s="14" t="n">
        <v>1.88</v>
      </c>
      <c r="T17" s="14" t="n">
        <v>0</v>
      </c>
      <c r="U17" s="14" t="n">
        <v>3.267</v>
      </c>
      <c r="V17" s="14" t="n">
        <v>1.128</v>
      </c>
    </row>
    <row r="18" customFormat="false" ht="15" hidden="false" customHeight="false" outlineLevel="0" collapsed="false">
      <c r="A18" s="4" t="n">
        <v>10</v>
      </c>
      <c r="B18" s="4" t="s">
        <v>138</v>
      </c>
      <c r="C18" s="4" t="n">
        <v>10.003</v>
      </c>
      <c r="D18" s="4" t="n">
        <v>10.006</v>
      </c>
      <c r="E18" s="4" t="n">
        <v>10.005</v>
      </c>
      <c r="F18" s="4" t="n">
        <v>9.994</v>
      </c>
      <c r="G18" s="4" t="n">
        <v>9.993</v>
      </c>
      <c r="H18" s="5" t="n">
        <f aca="false">IF(COUNT(C18:G18)=0,"",AVERAGE(C18:G18))</f>
        <v>10.0002</v>
      </c>
      <c r="I18" s="5" t="n">
        <f aca="false">IF(COUNT(C18:G18)=0,"",MAX(C18:G18)-MIN(C18:G18))</f>
        <v>0.0129999999999999</v>
      </c>
      <c r="J18" s="5" t="n">
        <f aca="false">IF(ISNUMBER($H18),$S$3,"")</f>
        <v>10.00309</v>
      </c>
      <c r="K18" s="5" t="n">
        <f aca="false">IF(ISNUMBER($H18),$S$9,"")</f>
        <v>10.01500505</v>
      </c>
      <c r="L18" s="5" t="n">
        <f aca="false">IF(ISNUMBER($H18),$S$10,"")</f>
        <v>9.99117495</v>
      </c>
      <c r="M18" s="5" t="n">
        <f aca="false">IF(ISNUMBER($I18),$S$11,"")</f>
        <v>0.0436540999999993</v>
      </c>
      <c r="N18" s="5" t="n">
        <f aca="false">IF(ISNUMBER($I18),$S$12,"")</f>
        <v>0</v>
      </c>
      <c r="O18" s="5" t="str">
        <f aca="false">IF(ISNUMBER($H18),IF(OR($H18&gt;$S$9,$H18&lt;$S$10),"WE1",""),"")</f>
        <v/>
      </c>
      <c r="P18" s="5" t="str">
        <f aca="false">IF(COUNT(H11:H18)=8,IF(OR(COUNTIF(H11:H18,"&gt;"&amp;$S$3)=8,COUNTIF(H11:H18,"&lt;"&amp;$S$3)=8),"WE4",""),"")</f>
        <v>WE4</v>
      </c>
      <c r="R18" s="14" t="n">
        <v>3</v>
      </c>
      <c r="S18" s="14" t="n">
        <v>1.023</v>
      </c>
      <c r="T18" s="14" t="n">
        <v>0</v>
      </c>
      <c r="U18" s="14" t="n">
        <v>2.574</v>
      </c>
      <c r="V18" s="14" t="n">
        <v>1.693</v>
      </c>
    </row>
    <row r="19" customFormat="false" ht="15" hidden="false" customHeight="false" outlineLevel="0" collapsed="false">
      <c r="A19" s="4" t="n">
        <v>11</v>
      </c>
      <c r="B19" s="4" t="s">
        <v>139</v>
      </c>
      <c r="C19" s="4" t="n">
        <v>9.995</v>
      </c>
      <c r="D19" s="4" t="n">
        <v>10.005</v>
      </c>
      <c r="E19" s="4" t="n">
        <v>9.997</v>
      </c>
      <c r="F19" s="4" t="n">
        <v>10.023</v>
      </c>
      <c r="G19" s="4" t="n">
        <v>9.992</v>
      </c>
      <c r="H19" s="5" t="n">
        <f aca="false">IF(COUNT(C19:G19)=0,"",AVERAGE(C19:G19))</f>
        <v>10.0024</v>
      </c>
      <c r="I19" s="5" t="n">
        <f aca="false">IF(COUNT(C19:G19)=0,"",MAX(C19:G19)-MIN(C19:G19))</f>
        <v>0.0309999999999988</v>
      </c>
      <c r="J19" s="5" t="n">
        <f aca="false">IF(ISNUMBER($H19),$S$3,"")</f>
        <v>10.00309</v>
      </c>
      <c r="K19" s="5" t="n">
        <f aca="false">IF(ISNUMBER($H19),$S$9,"")</f>
        <v>10.01500505</v>
      </c>
      <c r="L19" s="5" t="n">
        <f aca="false">IF(ISNUMBER($H19),$S$10,"")</f>
        <v>9.99117495</v>
      </c>
      <c r="M19" s="5" t="n">
        <f aca="false">IF(ISNUMBER($I19),$S$11,"")</f>
        <v>0.0436540999999993</v>
      </c>
      <c r="N19" s="5" t="n">
        <f aca="false">IF(ISNUMBER($I19),$S$12,"")</f>
        <v>0</v>
      </c>
      <c r="O19" s="5" t="str">
        <f aca="false">IF(ISNUMBER($H19),IF(OR($H19&gt;$S$9,$H19&lt;$S$10),"WE1",""),"")</f>
        <v/>
      </c>
      <c r="P19" s="5" t="str">
        <f aca="false">IF(COUNT(H12:H19)=8,IF(OR(COUNTIF(H12:H19,"&gt;"&amp;$S$3)=8,COUNTIF(H12:H19,"&lt;"&amp;$S$3)=8),"WE4",""),"")</f>
        <v>WE4</v>
      </c>
      <c r="R19" s="14" t="n">
        <v>4</v>
      </c>
      <c r="S19" s="14" t="n">
        <v>0.729</v>
      </c>
      <c r="T19" s="14" t="n">
        <v>0</v>
      </c>
      <c r="U19" s="14" t="n">
        <v>2.282</v>
      </c>
      <c r="V19" s="14" t="n">
        <v>2.059</v>
      </c>
    </row>
    <row r="20" customFormat="false" ht="15" hidden="false" customHeight="false" outlineLevel="0" collapsed="false">
      <c r="A20" s="4" t="n">
        <v>12</v>
      </c>
      <c r="B20" s="4" t="s">
        <v>140</v>
      </c>
      <c r="C20" s="4" t="n">
        <v>9.989</v>
      </c>
      <c r="D20" s="4" t="n">
        <v>10.008</v>
      </c>
      <c r="E20" s="4" t="n">
        <v>10.014</v>
      </c>
      <c r="F20" s="4" t="n">
        <v>10.005</v>
      </c>
      <c r="G20" s="4" t="n">
        <v>10.008</v>
      </c>
      <c r="H20" s="5" t="n">
        <f aca="false">IF(COUNT(C20:G20)=0,"",AVERAGE(C20:G20))</f>
        <v>10.0048</v>
      </c>
      <c r="I20" s="5" t="n">
        <f aca="false">IF(COUNT(C20:G20)=0,"",MAX(C20:G20)-MIN(C20:G20))</f>
        <v>0.0249999999999986</v>
      </c>
      <c r="J20" s="5" t="n">
        <f aca="false">IF(ISNUMBER($H20),$S$3,"")</f>
        <v>10.00309</v>
      </c>
      <c r="K20" s="5" t="n">
        <f aca="false">IF(ISNUMBER($H20),$S$9,"")</f>
        <v>10.01500505</v>
      </c>
      <c r="L20" s="5" t="n">
        <f aca="false">IF(ISNUMBER($H20),$S$10,"")</f>
        <v>9.99117495</v>
      </c>
      <c r="M20" s="5" t="n">
        <f aca="false">IF(ISNUMBER($I20),$S$11,"")</f>
        <v>0.0436540999999993</v>
      </c>
      <c r="N20" s="5" t="n">
        <f aca="false">IF(ISNUMBER($I20),$S$12,"")</f>
        <v>0</v>
      </c>
      <c r="O20" s="5" t="str">
        <f aca="false">IF(ISNUMBER($H20),IF(OR($H20&gt;$S$9,$H20&lt;$S$10),"WE1",""),"")</f>
        <v/>
      </c>
      <c r="P20" s="5" t="str">
        <f aca="false">IF(COUNT(H13:H20)=8,IF(OR(COUNTIF(H13:H20,"&gt;"&amp;$S$3)=8,COUNTIF(H13:H20,"&lt;"&amp;$S$3)=8),"WE4",""),"")</f>
        <v/>
      </c>
      <c r="R20" s="14" t="n">
        <v>5</v>
      </c>
      <c r="S20" s="14" t="n">
        <v>0.577</v>
      </c>
      <c r="T20" s="14" t="n">
        <v>0</v>
      </c>
      <c r="U20" s="14" t="n">
        <v>2.114</v>
      </c>
      <c r="V20" s="14" t="n">
        <v>2.326</v>
      </c>
    </row>
    <row r="21" customFormat="false" ht="15" hidden="false" customHeight="false" outlineLevel="0" collapsed="false">
      <c r="A21" s="4" t="n">
        <v>13</v>
      </c>
      <c r="B21" s="4" t="s">
        <v>141</v>
      </c>
      <c r="C21" s="4" t="n">
        <v>10.014</v>
      </c>
      <c r="D21" s="4" t="n">
        <v>9.999</v>
      </c>
      <c r="E21" s="4" t="n">
        <v>9.986</v>
      </c>
      <c r="F21" s="4" t="n">
        <v>9.995</v>
      </c>
      <c r="G21" s="4" t="n">
        <v>10.01</v>
      </c>
      <c r="H21" s="5" t="n">
        <f aca="false">IF(COUNT(C21:G21)=0,"",AVERAGE(C21:G21))</f>
        <v>10.0008</v>
      </c>
      <c r="I21" s="5" t="n">
        <f aca="false">IF(COUNT(C21:G21)=0,"",MAX(C21:G21)-MIN(C21:G21))</f>
        <v>0.0279999999999987</v>
      </c>
      <c r="J21" s="5" t="n">
        <f aca="false">IF(ISNUMBER($H21),$S$3,"")</f>
        <v>10.00309</v>
      </c>
      <c r="K21" s="5" t="n">
        <f aca="false">IF(ISNUMBER($H21),$S$9,"")</f>
        <v>10.01500505</v>
      </c>
      <c r="L21" s="5" t="n">
        <f aca="false">IF(ISNUMBER($H21),$S$10,"")</f>
        <v>9.99117495</v>
      </c>
      <c r="M21" s="5" t="n">
        <f aca="false">IF(ISNUMBER($I21),$S$11,"")</f>
        <v>0.0436540999999993</v>
      </c>
      <c r="N21" s="5" t="n">
        <f aca="false">IF(ISNUMBER($I21),$S$12,"")</f>
        <v>0</v>
      </c>
      <c r="O21" s="5" t="str">
        <f aca="false">IF(ISNUMBER($H21),IF(OR($H21&gt;$S$9,$H21&lt;$S$10),"WE1",""),"")</f>
        <v/>
      </c>
      <c r="P21" s="5" t="str">
        <f aca="false">IF(COUNT(H14:H21)=8,IF(OR(COUNTIF(H14:H21,"&gt;"&amp;$S$3)=8,COUNTIF(H14:H21,"&lt;"&amp;$S$3)=8),"WE4",""),"")</f>
        <v/>
      </c>
      <c r="R21" s="14" t="n">
        <v>6</v>
      </c>
      <c r="S21" s="14" t="n">
        <v>0.483</v>
      </c>
      <c r="T21" s="14" t="n">
        <v>0</v>
      </c>
      <c r="U21" s="14" t="n">
        <v>2.004</v>
      </c>
      <c r="V21" s="14" t="n">
        <v>2.534</v>
      </c>
    </row>
    <row r="22" customFormat="false" ht="15" hidden="false" customHeight="false" outlineLevel="0" collapsed="false">
      <c r="A22" s="4" t="n">
        <v>14</v>
      </c>
      <c r="B22" s="4" t="s">
        <v>142</v>
      </c>
      <c r="C22" s="4" t="n">
        <v>9.986</v>
      </c>
      <c r="D22" s="4" t="n">
        <v>10</v>
      </c>
      <c r="E22" s="4" t="n">
        <v>10.003</v>
      </c>
      <c r="F22" s="4" t="n">
        <v>9.997</v>
      </c>
      <c r="G22" s="4" t="n">
        <v>10.007</v>
      </c>
      <c r="H22" s="5" t="n">
        <f aca="false">IF(COUNT(C22:G22)=0,"",AVERAGE(C22:G22))</f>
        <v>9.9986</v>
      </c>
      <c r="I22" s="5" t="n">
        <f aca="false">IF(COUNT(C22:G22)=0,"",MAX(C22:G22)-MIN(C22:G22))</f>
        <v>0.020999999999999</v>
      </c>
      <c r="J22" s="5" t="n">
        <f aca="false">IF(ISNUMBER($H22),$S$3,"")</f>
        <v>10.00309</v>
      </c>
      <c r="K22" s="5" t="n">
        <f aca="false">IF(ISNUMBER($H22),$S$9,"")</f>
        <v>10.01500505</v>
      </c>
      <c r="L22" s="5" t="n">
        <f aca="false">IF(ISNUMBER($H22),$S$10,"")</f>
        <v>9.99117495</v>
      </c>
      <c r="M22" s="5" t="n">
        <f aca="false">IF(ISNUMBER($I22),$S$11,"")</f>
        <v>0.0436540999999993</v>
      </c>
      <c r="N22" s="5" t="n">
        <f aca="false">IF(ISNUMBER($I22),$S$12,"")</f>
        <v>0</v>
      </c>
      <c r="O22" s="5" t="str">
        <f aca="false">IF(ISNUMBER($H22),IF(OR($H22&gt;$S$9,$H22&lt;$S$10),"WE1",""),"")</f>
        <v/>
      </c>
      <c r="P22" s="5" t="str">
        <f aca="false">IF(COUNT(H15:H22)=8,IF(OR(COUNTIF(H15:H22,"&gt;"&amp;$S$3)=8,COUNTIF(H15:H22,"&lt;"&amp;$S$3)=8),"WE4",""),"")</f>
        <v/>
      </c>
      <c r="R22" s="14" t="n">
        <v>7</v>
      </c>
      <c r="S22" s="14" t="n">
        <v>0.419</v>
      </c>
      <c r="T22" s="14" t="n">
        <v>0.076</v>
      </c>
      <c r="U22" s="14" t="n">
        <v>1.924</v>
      </c>
      <c r="V22" s="14" t="n">
        <v>2.704</v>
      </c>
    </row>
    <row r="23" customFormat="false" ht="15" hidden="false" customHeight="false" outlineLevel="0" collapsed="false">
      <c r="A23" s="4" t="n">
        <v>15</v>
      </c>
      <c r="B23" s="4" t="s">
        <v>143</v>
      </c>
      <c r="C23" s="4" t="n">
        <v>10.056</v>
      </c>
      <c r="D23" s="4" t="n">
        <v>10.073</v>
      </c>
      <c r="E23" s="4" t="n">
        <v>10.056</v>
      </c>
      <c r="F23" s="4" t="n">
        <v>10.044</v>
      </c>
      <c r="G23" s="4" t="n">
        <v>10.044</v>
      </c>
      <c r="H23" s="5" t="n">
        <f aca="false">IF(COUNT(C23:G23)=0,"",AVERAGE(C23:G23))</f>
        <v>10.0546</v>
      </c>
      <c r="I23" s="5" t="n">
        <f aca="false">IF(COUNT(C23:G23)=0,"",MAX(C23:G23)-MIN(C23:G23))</f>
        <v>0.0289999999999999</v>
      </c>
      <c r="J23" s="5" t="n">
        <f aca="false">IF(ISNUMBER($H23),$S$3,"")</f>
        <v>10.00309</v>
      </c>
      <c r="K23" s="5" t="n">
        <f aca="false">IF(ISNUMBER($H23),$S$9,"")</f>
        <v>10.01500505</v>
      </c>
      <c r="L23" s="5" t="n">
        <f aca="false">IF(ISNUMBER($H23),$S$10,"")</f>
        <v>9.99117495</v>
      </c>
      <c r="M23" s="5" t="n">
        <f aca="false">IF(ISNUMBER($I23),$S$11,"")</f>
        <v>0.0436540999999993</v>
      </c>
      <c r="N23" s="5" t="n">
        <f aca="false">IF(ISNUMBER($I23),$S$12,"")</f>
        <v>0</v>
      </c>
      <c r="O23" s="5" t="str">
        <f aca="false">IF(ISNUMBER($H23),IF(OR($H23&gt;$S$9,$H23&lt;$S$10),"WE1",""),"")</f>
        <v>WE1</v>
      </c>
      <c r="P23" s="5" t="str">
        <f aca="false">IF(COUNT(H16:H23)=8,IF(OR(COUNTIF(H16:H23,"&gt;"&amp;$S$3)=8,COUNTIF(H16:H23,"&lt;"&amp;$S$3)=8),"WE4",""),"")</f>
        <v/>
      </c>
      <c r="R23" s="14" t="n">
        <v>8</v>
      </c>
      <c r="S23" s="14" t="n">
        <v>0.373</v>
      </c>
      <c r="T23" s="14" t="n">
        <v>0.136</v>
      </c>
      <c r="U23" s="14" t="n">
        <v>1.864</v>
      </c>
      <c r="V23" s="14" t="n">
        <v>2.847</v>
      </c>
    </row>
    <row r="24" customFormat="false" ht="15" hidden="false" customHeight="false" outlineLevel="0" collapsed="false">
      <c r="A24" s="4" t="n">
        <v>16</v>
      </c>
      <c r="B24" s="4" t="s">
        <v>144</v>
      </c>
      <c r="C24" s="4" t="n">
        <v>9.992</v>
      </c>
      <c r="D24" s="4" t="n">
        <v>10.01</v>
      </c>
      <c r="E24" s="4" t="n">
        <v>9.994</v>
      </c>
      <c r="F24" s="4" t="n">
        <v>9.999</v>
      </c>
      <c r="G24" s="4" t="n">
        <v>10.007</v>
      </c>
      <c r="H24" s="5" t="n">
        <f aca="false">IF(COUNT(C24:G24)=0,"",AVERAGE(C24:G24))</f>
        <v>10.0004</v>
      </c>
      <c r="I24" s="5" t="n">
        <f aca="false">IF(COUNT(C24:G24)=0,"",MAX(C24:G24)-MIN(C24:G24))</f>
        <v>0.0179999999999989</v>
      </c>
      <c r="J24" s="5" t="n">
        <f aca="false">IF(ISNUMBER($H24),$S$3,"")</f>
        <v>10.00309</v>
      </c>
      <c r="K24" s="5" t="n">
        <f aca="false">IF(ISNUMBER($H24),$S$9,"")</f>
        <v>10.01500505</v>
      </c>
      <c r="L24" s="5" t="n">
        <f aca="false">IF(ISNUMBER($H24),$S$10,"")</f>
        <v>9.99117495</v>
      </c>
      <c r="M24" s="5" t="n">
        <f aca="false">IF(ISNUMBER($I24),$S$11,"")</f>
        <v>0.0436540999999993</v>
      </c>
      <c r="N24" s="5" t="n">
        <f aca="false">IF(ISNUMBER($I24),$S$12,"")</f>
        <v>0</v>
      </c>
      <c r="O24" s="5" t="str">
        <f aca="false">IF(ISNUMBER($H24),IF(OR($H24&gt;$S$9,$H24&lt;$S$10),"WE1",""),"")</f>
        <v/>
      </c>
      <c r="P24" s="5" t="str">
        <f aca="false">IF(COUNT(H17:H24)=8,IF(OR(COUNTIF(H17:H24,"&gt;"&amp;$S$3)=8,COUNTIF(H17:H24,"&lt;"&amp;$S$3)=8),"WE4",""),"")</f>
        <v/>
      </c>
      <c r="R24" s="14" t="n">
        <v>9</v>
      </c>
      <c r="S24" s="14" t="n">
        <v>0.337</v>
      </c>
      <c r="T24" s="14" t="n">
        <v>0.184</v>
      </c>
      <c r="U24" s="14" t="n">
        <v>1.816</v>
      </c>
      <c r="V24" s="14" t="n">
        <v>2.97</v>
      </c>
    </row>
    <row r="25" customFormat="false" ht="15" hidden="false" customHeight="false" outlineLevel="0" collapsed="false">
      <c r="A25" s="4" t="n">
        <v>17</v>
      </c>
      <c r="B25" s="4" t="s">
        <v>145</v>
      </c>
      <c r="C25" s="4" t="n">
        <v>9.993</v>
      </c>
      <c r="D25" s="4" t="n">
        <v>9.997</v>
      </c>
      <c r="E25" s="4" t="n">
        <v>9.982</v>
      </c>
      <c r="F25" s="4" t="n">
        <v>9.989</v>
      </c>
      <c r="G25" s="4" t="n">
        <v>9.994</v>
      </c>
      <c r="H25" s="5" t="n">
        <f aca="false">IF(COUNT(C25:G25)=0,"",AVERAGE(C25:G25))</f>
        <v>9.991</v>
      </c>
      <c r="I25" s="5" t="n">
        <f aca="false">IF(COUNT(C25:G25)=0,"",MAX(C25:G25)-MIN(C25:G25))</f>
        <v>0.0150000000000006</v>
      </c>
      <c r="J25" s="5" t="n">
        <f aca="false">IF(ISNUMBER($H25),$S$3,"")</f>
        <v>10.00309</v>
      </c>
      <c r="K25" s="5" t="n">
        <f aca="false">IF(ISNUMBER($H25),$S$9,"")</f>
        <v>10.01500505</v>
      </c>
      <c r="L25" s="5" t="n">
        <f aca="false">IF(ISNUMBER($H25),$S$10,"")</f>
        <v>9.99117495</v>
      </c>
      <c r="M25" s="5" t="n">
        <f aca="false">IF(ISNUMBER($I25),$S$11,"")</f>
        <v>0.0436540999999993</v>
      </c>
      <c r="N25" s="5" t="n">
        <f aca="false">IF(ISNUMBER($I25),$S$12,"")</f>
        <v>0</v>
      </c>
      <c r="O25" s="5" t="str">
        <f aca="false">IF(ISNUMBER($H25),IF(OR($H25&gt;$S$9,$H25&lt;$S$10),"WE1",""),"")</f>
        <v>WE1</v>
      </c>
      <c r="P25" s="5" t="str">
        <f aca="false">IF(COUNT(H18:H25)=8,IF(OR(COUNTIF(H18:H25,"&gt;"&amp;$S$3)=8,COUNTIF(H18:H25,"&lt;"&amp;$S$3)=8),"WE4",""),"")</f>
        <v/>
      </c>
      <c r="R25" s="14" t="n">
        <v>10</v>
      </c>
      <c r="S25" s="14" t="n">
        <v>0.308</v>
      </c>
      <c r="T25" s="14" t="n">
        <v>0.223</v>
      </c>
      <c r="U25" s="14" t="n">
        <v>1.777</v>
      </c>
      <c r="V25" s="14" t="n">
        <v>3.078</v>
      </c>
    </row>
    <row r="26" customFormat="false" ht="15" hidden="false" customHeight="false" outlineLevel="0" collapsed="false">
      <c r="A26" s="4" t="n">
        <v>18</v>
      </c>
      <c r="B26" s="4" t="s">
        <v>146</v>
      </c>
      <c r="C26" s="4" t="n">
        <v>10.004</v>
      </c>
      <c r="D26" s="4" t="n">
        <v>10.012</v>
      </c>
      <c r="E26" s="4" t="n">
        <v>10</v>
      </c>
      <c r="F26" s="4" t="n">
        <v>10.003</v>
      </c>
      <c r="G26" s="4" t="n">
        <v>10.002</v>
      </c>
      <c r="H26" s="5" t="n">
        <f aca="false">IF(COUNT(C26:G26)=0,"",AVERAGE(C26:G26))</f>
        <v>10.0042</v>
      </c>
      <c r="I26" s="5" t="n">
        <f aca="false">IF(COUNT(C26:G26)=0,"",MAX(C26:G26)-MIN(C26:G26))</f>
        <v>0.0120000000000005</v>
      </c>
      <c r="J26" s="5" t="n">
        <f aca="false">IF(ISNUMBER($H26),$S$3,"")</f>
        <v>10.00309</v>
      </c>
      <c r="K26" s="5" t="n">
        <f aca="false">IF(ISNUMBER($H26),$S$9,"")</f>
        <v>10.01500505</v>
      </c>
      <c r="L26" s="5" t="n">
        <f aca="false">IF(ISNUMBER($H26),$S$10,"")</f>
        <v>9.99117495</v>
      </c>
      <c r="M26" s="5" t="n">
        <f aca="false">IF(ISNUMBER($I26),$S$11,"")</f>
        <v>0.0436540999999993</v>
      </c>
      <c r="N26" s="5" t="n">
        <f aca="false">IF(ISNUMBER($I26),$S$12,"")</f>
        <v>0</v>
      </c>
      <c r="O26" s="5" t="str">
        <f aca="false">IF(ISNUMBER($H26),IF(OR($H26&gt;$S$9,$H26&lt;$S$10),"WE1",""),"")</f>
        <v/>
      </c>
      <c r="P26" s="5" t="str">
        <f aca="false">IF(COUNT(H19:H26)=8,IF(OR(COUNTIF(H19:H26,"&gt;"&amp;$S$3)=8,COUNTIF(H19:H26,"&lt;"&amp;$S$3)=8),"WE4",""),"")</f>
        <v/>
      </c>
    </row>
    <row r="27" customFormat="false" ht="15" hidden="false" customHeight="false" outlineLevel="0" collapsed="false">
      <c r="A27" s="4" t="n">
        <v>19</v>
      </c>
      <c r="B27" s="4" t="s">
        <v>147</v>
      </c>
      <c r="C27" s="4" t="n">
        <v>10.011</v>
      </c>
      <c r="D27" s="4" t="n">
        <v>10.009</v>
      </c>
      <c r="E27" s="4" t="n">
        <v>10.003</v>
      </c>
      <c r="F27" s="4" t="n">
        <v>9.99</v>
      </c>
      <c r="G27" s="4" t="n">
        <v>10.009</v>
      </c>
      <c r="H27" s="5" t="n">
        <f aca="false">IF(COUNT(C27:G27)=0,"",AVERAGE(C27:G27))</f>
        <v>10.0044</v>
      </c>
      <c r="I27" s="5" t="n">
        <f aca="false">IF(COUNT(C27:G27)=0,"",MAX(C27:G27)-MIN(C27:G27))</f>
        <v>0.020999999999999</v>
      </c>
      <c r="J27" s="5" t="n">
        <f aca="false">IF(ISNUMBER($H27),$S$3,"")</f>
        <v>10.00309</v>
      </c>
      <c r="K27" s="5" t="n">
        <f aca="false">IF(ISNUMBER($H27),$S$9,"")</f>
        <v>10.01500505</v>
      </c>
      <c r="L27" s="5" t="n">
        <f aca="false">IF(ISNUMBER($H27),$S$10,"")</f>
        <v>9.99117495</v>
      </c>
      <c r="M27" s="5" t="n">
        <f aca="false">IF(ISNUMBER($I27),$S$11,"")</f>
        <v>0.0436540999999993</v>
      </c>
      <c r="N27" s="5" t="n">
        <f aca="false">IF(ISNUMBER($I27),$S$12,"")</f>
        <v>0</v>
      </c>
      <c r="O27" s="5" t="str">
        <f aca="false">IF(ISNUMBER($H27),IF(OR($H27&gt;$S$9,$H27&lt;$S$10),"WE1",""),"")</f>
        <v/>
      </c>
      <c r="P27" s="5" t="str">
        <f aca="false">IF(COUNT(H20:H27)=8,IF(OR(COUNTIF(H20:H27,"&gt;"&amp;$S$3)=8,COUNTIF(H20:H27,"&lt;"&amp;$S$3)=8),"WE4",""),"")</f>
        <v/>
      </c>
    </row>
    <row r="28" customFormat="false" ht="15" hidden="false" customHeight="false" outlineLevel="0" collapsed="false">
      <c r="A28" s="4" t="n">
        <v>20</v>
      </c>
      <c r="B28" s="4" t="s">
        <v>148</v>
      </c>
      <c r="C28" s="4" t="n">
        <v>10.004</v>
      </c>
      <c r="D28" s="4" t="n">
        <v>10.012</v>
      </c>
      <c r="E28" s="4" t="n">
        <v>10</v>
      </c>
      <c r="F28" s="4" t="n">
        <v>10.02</v>
      </c>
      <c r="G28" s="4" t="n">
        <v>9.996</v>
      </c>
      <c r="H28" s="5" t="n">
        <f aca="false">IF(COUNT(C28:G28)=0,"",AVERAGE(C28:G28))</f>
        <v>10.0064</v>
      </c>
      <c r="I28" s="5" t="n">
        <f aca="false">IF(COUNT(C28:G28)=0,"",MAX(C28:G28)-MIN(C28:G28))</f>
        <v>0.0239999999999991</v>
      </c>
      <c r="J28" s="5" t="n">
        <f aca="false">IF(ISNUMBER($H28),$S$3,"")</f>
        <v>10.00309</v>
      </c>
      <c r="K28" s="5" t="n">
        <f aca="false">IF(ISNUMBER($H28),$S$9,"")</f>
        <v>10.01500505</v>
      </c>
      <c r="L28" s="5" t="n">
        <f aca="false">IF(ISNUMBER($H28),$S$10,"")</f>
        <v>9.99117495</v>
      </c>
      <c r="M28" s="5" t="n">
        <f aca="false">IF(ISNUMBER($I28),$S$11,"")</f>
        <v>0.0436540999999993</v>
      </c>
      <c r="N28" s="5" t="n">
        <f aca="false">IF(ISNUMBER($I28),$S$12,"")</f>
        <v>0</v>
      </c>
      <c r="O28" s="5" t="str">
        <f aca="false">IF(ISNUMBER($H28),IF(OR($H28&gt;$S$9,$H28&lt;$S$10),"WE1",""),"")</f>
        <v/>
      </c>
      <c r="P28" s="5" t="str">
        <f aca="false">IF(COUNT(H21:H28)=8,IF(OR(COUNTIF(H21:H28,"&gt;"&amp;$S$3)=8,COUNTIF(H21:H28,"&lt;"&amp;$S$3)=8),"WE4",""),"")</f>
        <v/>
      </c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5" t="str">
        <f aca="false">IF(COUNT(C29:G29)=0,"",AVERAGE(C29:G29))</f>
        <v/>
      </c>
      <c r="I29" s="5" t="str">
        <f aca="false">IF(COUNT(C29:G29)=0,"",MAX(C29:G29)-MIN(C29:G29))</f>
        <v/>
      </c>
      <c r="J29" s="5" t="str">
        <f aca="false">IF(ISNUMBER($H29),$S$3,"")</f>
        <v/>
      </c>
      <c r="K29" s="5" t="str">
        <f aca="false">IF(ISNUMBER($H29),$S$9,"")</f>
        <v/>
      </c>
      <c r="L29" s="5" t="str">
        <f aca="false">IF(ISNUMBER($H29),$S$10,"")</f>
        <v/>
      </c>
      <c r="M29" s="5" t="str">
        <f aca="false">IF(ISNUMBER($I29),$S$11,"")</f>
        <v/>
      </c>
      <c r="N29" s="5" t="str">
        <f aca="false">IF(ISNUMBER($I29),$S$12,"")</f>
        <v/>
      </c>
      <c r="O29" s="5" t="str">
        <f aca="false">IF(ISNUMBER($H29),IF(OR($H29&gt;$S$9,$H29&lt;$S$10),"WE1",""),"")</f>
        <v/>
      </c>
      <c r="P29" s="5" t="str">
        <f aca="false">IF(COUNT(H22:H29)=8,IF(OR(COUNTIF(H22:H29,"&gt;"&amp;$S$3)=8,COUNTIF(H22:H29,"&lt;"&amp;$S$3)=8),"WE4",""),"")</f>
        <v/>
      </c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5" t="str">
        <f aca="false">IF(COUNT(C30:G30)=0,"",AVERAGE(C30:G30))</f>
        <v/>
      </c>
      <c r="I30" s="5" t="str">
        <f aca="false">IF(COUNT(C30:G30)=0,"",MAX(C30:G30)-MIN(C30:G30))</f>
        <v/>
      </c>
      <c r="J30" s="5" t="str">
        <f aca="false">IF(ISNUMBER($H30),$S$3,"")</f>
        <v/>
      </c>
      <c r="K30" s="5" t="str">
        <f aca="false">IF(ISNUMBER($H30),$S$9,"")</f>
        <v/>
      </c>
      <c r="L30" s="5" t="str">
        <f aca="false">IF(ISNUMBER($H30),$S$10,"")</f>
        <v/>
      </c>
      <c r="M30" s="5" t="str">
        <f aca="false">IF(ISNUMBER($I30),$S$11,"")</f>
        <v/>
      </c>
      <c r="N30" s="5" t="str">
        <f aca="false">IF(ISNUMBER($I30),$S$12,"")</f>
        <v/>
      </c>
      <c r="O30" s="5" t="str">
        <f aca="false">IF(ISNUMBER($H30),IF(OR($H30&gt;$S$9,$H30&lt;$S$10),"WE1",""),"")</f>
        <v/>
      </c>
      <c r="P30" s="5" t="str">
        <f aca="false">IF(COUNT(H23:H30)=8,IF(OR(COUNTIF(H23:H30,"&gt;"&amp;$S$3)=8,COUNTIF(H23:H30,"&lt;"&amp;$S$3)=8),"WE4",""),"")</f>
        <v/>
      </c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5" t="str">
        <f aca="false">IF(COUNT(C31:G31)=0,"",AVERAGE(C31:G31))</f>
        <v/>
      </c>
      <c r="I31" s="5" t="str">
        <f aca="false">IF(COUNT(C31:G31)=0,"",MAX(C31:G31)-MIN(C31:G31))</f>
        <v/>
      </c>
      <c r="J31" s="5" t="str">
        <f aca="false">IF(ISNUMBER($H31),$S$3,"")</f>
        <v/>
      </c>
      <c r="K31" s="5" t="str">
        <f aca="false">IF(ISNUMBER($H31),$S$9,"")</f>
        <v/>
      </c>
      <c r="L31" s="5" t="str">
        <f aca="false">IF(ISNUMBER($H31),$S$10,"")</f>
        <v/>
      </c>
      <c r="M31" s="5" t="str">
        <f aca="false">IF(ISNUMBER($I31),$S$11,"")</f>
        <v/>
      </c>
      <c r="N31" s="5" t="str">
        <f aca="false">IF(ISNUMBER($I31),$S$12,"")</f>
        <v/>
      </c>
      <c r="O31" s="5" t="str">
        <f aca="false">IF(ISNUMBER($H31),IF(OR($H31&gt;$S$9,$H31&lt;$S$10),"WE1",""),"")</f>
        <v/>
      </c>
      <c r="P31" s="5" t="str">
        <f aca="false">IF(COUNT(H24:H31)=8,IF(OR(COUNTIF(H24:H31,"&gt;"&amp;$S$3)=8,COUNTIF(H24:H31,"&lt;"&amp;$S$3)=8),"WE4",""),"")</f>
        <v/>
      </c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5" t="str">
        <f aca="false">IF(COUNT(C32:G32)=0,"",AVERAGE(C32:G32))</f>
        <v/>
      </c>
      <c r="I32" s="5" t="str">
        <f aca="false">IF(COUNT(C32:G32)=0,"",MAX(C32:G32)-MIN(C32:G32))</f>
        <v/>
      </c>
      <c r="J32" s="5" t="str">
        <f aca="false">IF(ISNUMBER($H32),$S$3,"")</f>
        <v/>
      </c>
      <c r="K32" s="5" t="str">
        <f aca="false">IF(ISNUMBER($H32),$S$9,"")</f>
        <v/>
      </c>
      <c r="L32" s="5" t="str">
        <f aca="false">IF(ISNUMBER($H32),$S$10,"")</f>
        <v/>
      </c>
      <c r="M32" s="5" t="str">
        <f aca="false">IF(ISNUMBER($I32),$S$11,"")</f>
        <v/>
      </c>
      <c r="N32" s="5" t="str">
        <f aca="false">IF(ISNUMBER($I32),$S$12,"")</f>
        <v/>
      </c>
      <c r="O32" s="5" t="str">
        <f aca="false">IF(ISNUMBER($H32),IF(OR($H32&gt;$S$9,$H32&lt;$S$10),"WE1",""),"")</f>
        <v/>
      </c>
      <c r="P32" s="5" t="str">
        <f aca="false">IF(COUNT(H25:H32)=8,IF(OR(COUNTIF(H25:H32,"&gt;"&amp;$S$3)=8,COUNTIF(H25:H32,"&lt;"&amp;$S$3)=8),"WE4",""),"")</f>
        <v/>
      </c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5" t="str">
        <f aca="false">IF(COUNT(C33:G33)=0,"",AVERAGE(C33:G33))</f>
        <v/>
      </c>
      <c r="I33" s="5" t="str">
        <f aca="false">IF(COUNT(C33:G33)=0,"",MAX(C33:G33)-MIN(C33:G33))</f>
        <v/>
      </c>
      <c r="J33" s="5" t="str">
        <f aca="false">IF(ISNUMBER($H33),$S$3,"")</f>
        <v/>
      </c>
      <c r="K33" s="5" t="str">
        <f aca="false">IF(ISNUMBER($H33),$S$9,"")</f>
        <v/>
      </c>
      <c r="L33" s="5" t="str">
        <f aca="false">IF(ISNUMBER($H33),$S$10,"")</f>
        <v/>
      </c>
      <c r="M33" s="5" t="str">
        <f aca="false">IF(ISNUMBER($I33),$S$11,"")</f>
        <v/>
      </c>
      <c r="N33" s="5" t="str">
        <f aca="false">IF(ISNUMBER($I33),$S$12,"")</f>
        <v/>
      </c>
      <c r="O33" s="5" t="str">
        <f aca="false">IF(ISNUMBER($H33),IF(OR($H33&gt;$S$9,$H33&lt;$S$10),"WE1",""),"")</f>
        <v/>
      </c>
      <c r="P33" s="5" t="str">
        <f aca="false">IF(COUNT(H26:H33)=8,IF(OR(COUNTIF(H26:H33,"&gt;"&amp;$S$3)=8,COUNTIF(H26:H33,"&lt;"&amp;$S$3)=8),"WE4",""),"")</f>
        <v/>
      </c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5" t="str">
        <f aca="false">IF(COUNT(C34:G34)=0,"",AVERAGE(C34:G34))</f>
        <v/>
      </c>
      <c r="I34" s="5" t="str">
        <f aca="false">IF(COUNT(C34:G34)=0,"",MAX(C34:G34)-MIN(C34:G34))</f>
        <v/>
      </c>
      <c r="J34" s="5" t="str">
        <f aca="false">IF(ISNUMBER($H34),$S$3,"")</f>
        <v/>
      </c>
      <c r="K34" s="5" t="str">
        <f aca="false">IF(ISNUMBER($H34),$S$9,"")</f>
        <v/>
      </c>
      <c r="L34" s="5" t="str">
        <f aca="false">IF(ISNUMBER($H34),$S$10,"")</f>
        <v/>
      </c>
      <c r="M34" s="5" t="str">
        <f aca="false">IF(ISNUMBER($I34),$S$11,"")</f>
        <v/>
      </c>
      <c r="N34" s="5" t="str">
        <f aca="false">IF(ISNUMBER($I34),$S$12,"")</f>
        <v/>
      </c>
      <c r="O34" s="5" t="str">
        <f aca="false">IF(ISNUMBER($H34),IF(OR($H34&gt;$S$9,$H34&lt;$S$10),"WE1",""),"")</f>
        <v/>
      </c>
      <c r="P34" s="5" t="str">
        <f aca="false">IF(COUNT(H27:H34)=8,IF(OR(COUNTIF(H27:H34,"&gt;"&amp;$S$3)=8,COUNTIF(H27:H34,"&lt;"&amp;$S$3)=8),"WE4",""),"")</f>
        <v/>
      </c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5" t="str">
        <f aca="false">IF(COUNT(C35:G35)=0,"",AVERAGE(C35:G35))</f>
        <v/>
      </c>
      <c r="I35" s="5" t="str">
        <f aca="false">IF(COUNT(C35:G35)=0,"",MAX(C35:G35)-MIN(C35:G35))</f>
        <v/>
      </c>
      <c r="J35" s="5" t="str">
        <f aca="false">IF(ISNUMBER($H35),$S$3,"")</f>
        <v/>
      </c>
      <c r="K35" s="5" t="str">
        <f aca="false">IF(ISNUMBER($H35),$S$9,"")</f>
        <v/>
      </c>
      <c r="L35" s="5" t="str">
        <f aca="false">IF(ISNUMBER($H35),$S$10,"")</f>
        <v/>
      </c>
      <c r="M35" s="5" t="str">
        <f aca="false">IF(ISNUMBER($I35),$S$11,"")</f>
        <v/>
      </c>
      <c r="N35" s="5" t="str">
        <f aca="false">IF(ISNUMBER($I35),$S$12,"")</f>
        <v/>
      </c>
      <c r="O35" s="5" t="str">
        <f aca="false">IF(ISNUMBER($H35),IF(OR($H35&gt;$S$9,$H35&lt;$S$10),"WE1",""),"")</f>
        <v/>
      </c>
      <c r="P35" s="5" t="str">
        <f aca="false">IF(COUNT(H28:H35)=8,IF(OR(COUNTIF(H28:H35,"&gt;"&amp;$S$3)=8,COUNTIF(H28:H35,"&lt;"&amp;$S$3)=8),"WE4",""),"")</f>
        <v/>
      </c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5" t="str">
        <f aca="false">IF(COUNT(C36:G36)=0,"",AVERAGE(C36:G36))</f>
        <v/>
      </c>
      <c r="I36" s="5" t="str">
        <f aca="false">IF(COUNT(C36:G36)=0,"",MAX(C36:G36)-MIN(C36:G36))</f>
        <v/>
      </c>
      <c r="J36" s="5" t="str">
        <f aca="false">IF(ISNUMBER($H36),$S$3,"")</f>
        <v/>
      </c>
      <c r="K36" s="5" t="str">
        <f aca="false">IF(ISNUMBER($H36),$S$9,"")</f>
        <v/>
      </c>
      <c r="L36" s="5" t="str">
        <f aca="false">IF(ISNUMBER($H36),$S$10,"")</f>
        <v/>
      </c>
      <c r="M36" s="5" t="str">
        <f aca="false">IF(ISNUMBER($I36),$S$11,"")</f>
        <v/>
      </c>
      <c r="N36" s="5" t="str">
        <f aca="false">IF(ISNUMBER($I36),$S$12,"")</f>
        <v/>
      </c>
      <c r="O36" s="5" t="str">
        <f aca="false">IF(ISNUMBER($H36),IF(OR($H36&gt;$S$9,$H36&lt;$S$10),"WE1",""),"")</f>
        <v/>
      </c>
      <c r="P36" s="5" t="str">
        <f aca="false">IF(COUNT(H29:H36)=8,IF(OR(COUNTIF(H29:H36,"&gt;"&amp;$S$3)=8,COUNTIF(H29:H36,"&lt;"&amp;$S$3)=8),"WE4",""),"")</f>
        <v/>
      </c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5" t="str">
        <f aca="false">IF(COUNT(C37:G37)=0,"",AVERAGE(C37:G37))</f>
        <v/>
      </c>
      <c r="I37" s="5" t="str">
        <f aca="false">IF(COUNT(C37:G37)=0,"",MAX(C37:G37)-MIN(C37:G37))</f>
        <v/>
      </c>
      <c r="J37" s="5" t="str">
        <f aca="false">IF(ISNUMBER($H37),$S$3,"")</f>
        <v/>
      </c>
      <c r="K37" s="5" t="str">
        <f aca="false">IF(ISNUMBER($H37),$S$9,"")</f>
        <v/>
      </c>
      <c r="L37" s="5" t="str">
        <f aca="false">IF(ISNUMBER($H37),$S$10,"")</f>
        <v/>
      </c>
      <c r="M37" s="5" t="str">
        <f aca="false">IF(ISNUMBER($I37),$S$11,"")</f>
        <v/>
      </c>
      <c r="N37" s="5" t="str">
        <f aca="false">IF(ISNUMBER($I37),$S$12,"")</f>
        <v/>
      </c>
      <c r="O37" s="5" t="str">
        <f aca="false">IF(ISNUMBER($H37),IF(OR($H37&gt;$S$9,$H37&lt;$S$10),"WE1",""),"")</f>
        <v/>
      </c>
      <c r="P37" s="5" t="str">
        <f aca="false">IF(COUNT(H30:H37)=8,IF(OR(COUNTIF(H30:H37,"&gt;"&amp;$S$3)=8,COUNTIF(H30:H37,"&lt;"&amp;$S$3)=8),"WE4",""),"")</f>
        <v/>
      </c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5" t="str">
        <f aca="false">IF(COUNT(C38:G38)=0,"",AVERAGE(C38:G38))</f>
        <v/>
      </c>
      <c r="I38" s="5" t="str">
        <f aca="false">IF(COUNT(C38:G38)=0,"",MAX(C38:G38)-MIN(C38:G38))</f>
        <v/>
      </c>
      <c r="J38" s="5" t="str">
        <f aca="false">IF(ISNUMBER($H38),$S$3,"")</f>
        <v/>
      </c>
      <c r="K38" s="5" t="str">
        <f aca="false">IF(ISNUMBER($H38),$S$9,"")</f>
        <v/>
      </c>
      <c r="L38" s="5" t="str">
        <f aca="false">IF(ISNUMBER($H38),$S$10,"")</f>
        <v/>
      </c>
      <c r="M38" s="5" t="str">
        <f aca="false">IF(ISNUMBER($I38),$S$11,"")</f>
        <v/>
      </c>
      <c r="N38" s="5" t="str">
        <f aca="false">IF(ISNUMBER($I38),$S$12,"")</f>
        <v/>
      </c>
      <c r="O38" s="5" t="str">
        <f aca="false">IF(ISNUMBER($H38),IF(OR($H38&gt;$S$9,$H38&lt;$S$10),"WE1",""),"")</f>
        <v/>
      </c>
      <c r="P38" s="5" t="str">
        <f aca="false">IF(COUNT(H31:H38)=8,IF(OR(COUNTIF(H31:H38,"&gt;"&amp;$S$3)=8,COUNTIF(H31:H38,"&lt;"&amp;$S$3)=8),"WE4",""),"")</f>
        <v/>
      </c>
    </row>
    <row r="40" customFormat="false" ht="15" hidden="false" customHeight="false" outlineLevel="0" collapsed="false">
      <c r="A40" s="10" t="s">
        <v>149</v>
      </c>
    </row>
  </sheetData>
  <dataValidations count="1">
    <dataValidation allowBlank="false" errorStyle="stop" operator="between" showDropDown="false" showErrorMessage="false" showInputMessage="false" sqref="B3" type="list">
      <formula1>"2,3,4,5"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6" min="3" style="0" width="8"/>
    <col collapsed="false" customWidth="true" hidden="false" outlineLevel="0" max="7" min="7" style="0" width="6"/>
    <col collapsed="false" customWidth="true" hidden="false" outlineLevel="0" max="9" min="9" style="0" width="22"/>
  </cols>
  <sheetData>
    <row r="1" customFormat="false" ht="17.35" hidden="false" customHeight="false" outlineLevel="0" collapsed="false">
      <c r="A1" s="1" t="s">
        <v>150</v>
      </c>
    </row>
    <row r="3" customFormat="false" ht="15" hidden="false" customHeight="false" outlineLevel="0" collapsed="false">
      <c r="A3" s="10" t="s">
        <v>151</v>
      </c>
      <c r="I3" s="8" t="s">
        <v>102</v>
      </c>
    </row>
    <row r="4" customFormat="false" ht="15" hidden="false" customHeight="false" outlineLevel="0" collapsed="false">
      <c r="I4" s="7" t="s">
        <v>152</v>
      </c>
      <c r="J4" s="5" t="n">
        <f aca="false">IF(COUNT($B$6:$B$35)=0,"",AVERAGE($B$6:$B$35))</f>
        <v>10.00905</v>
      </c>
    </row>
    <row r="5" customFormat="false" ht="15" hidden="false" customHeight="false" outlineLevel="0" collapsed="false">
      <c r="A5" s="11" t="s">
        <v>111</v>
      </c>
      <c r="B5" s="11" t="s">
        <v>153</v>
      </c>
      <c r="C5" s="11" t="s">
        <v>154</v>
      </c>
      <c r="D5" s="11" t="s">
        <v>119</v>
      </c>
      <c r="E5" s="11" t="s">
        <v>155</v>
      </c>
      <c r="F5" s="11" t="s">
        <v>156</v>
      </c>
      <c r="G5" s="11" t="s">
        <v>124</v>
      </c>
      <c r="I5" s="7" t="s">
        <v>157</v>
      </c>
      <c r="J5" s="5" t="n">
        <f aca="false">IF(COUNT($C$7:$C$35)=0,"",AVERAGE($C$7:$C$35))</f>
        <v>0.032421052631579</v>
      </c>
    </row>
    <row r="6" customFormat="false" ht="15" hidden="false" customHeight="false" outlineLevel="0" collapsed="false">
      <c r="A6" s="4" t="s">
        <v>127</v>
      </c>
      <c r="B6" s="4" t="n">
        <v>10.032</v>
      </c>
      <c r="D6" s="5" t="n">
        <f aca="false">IF(ISNUMBER($B6),$J$4,"")</f>
        <v>10.00905</v>
      </c>
      <c r="E6" s="5" t="n">
        <f aca="false">IF(ISNUMBER($B6),$J$7,"")</f>
        <v>10.0952762038074</v>
      </c>
      <c r="F6" s="5" t="n">
        <f aca="false">IF(ISNUMBER($B6),$J$8,"")</f>
        <v>9.92282379619261</v>
      </c>
      <c r="G6" s="5" t="str">
        <f aca="false">IF(ISNUMBER($B6),IF(OR($B6&gt;$J$7,$B6&lt;$J$8),"WE1",""),"")</f>
        <v/>
      </c>
      <c r="I6" s="7" t="s">
        <v>158</v>
      </c>
      <c r="J6" s="5" t="n">
        <f aca="false">IF($J$5="","",$J$5/1.128)</f>
        <v>0.028742067935797</v>
      </c>
    </row>
    <row r="7" customFormat="false" ht="15" hidden="false" customHeight="false" outlineLevel="0" collapsed="false">
      <c r="A7" s="4" t="s">
        <v>128</v>
      </c>
      <c r="B7" s="4" t="n">
        <v>10.002</v>
      </c>
      <c r="C7" s="5" t="n">
        <f aca="false">IF(AND(ISNUMBER($B7),ISNUMBER($B6)),ABS($B7-$B6),"")</f>
        <v>0.0299999999999994</v>
      </c>
      <c r="D7" s="5" t="n">
        <f aca="false">IF(ISNUMBER($B7),$J$4,"")</f>
        <v>10.00905</v>
      </c>
      <c r="E7" s="5" t="n">
        <f aca="false">IF(ISNUMBER($B7),$J$7,"")</f>
        <v>10.0952762038074</v>
      </c>
      <c r="F7" s="5" t="n">
        <f aca="false">IF(ISNUMBER($B7),$J$8,"")</f>
        <v>9.92282379619261</v>
      </c>
      <c r="G7" s="5" t="str">
        <f aca="false">IF(ISNUMBER($B7),IF(OR($B7&gt;$J$7,$B7&lt;$J$8),"WE1",""),"")</f>
        <v/>
      </c>
      <c r="I7" s="7" t="s">
        <v>159</v>
      </c>
      <c r="J7" s="5" t="n">
        <f aca="false">IF(OR($J$4="",$J$6=""),"",$J$4+3*$J$6)</f>
        <v>10.0952762038074</v>
      </c>
    </row>
    <row r="8" customFormat="false" ht="15" hidden="false" customHeight="false" outlineLevel="0" collapsed="false">
      <c r="A8" s="4" t="s">
        <v>129</v>
      </c>
      <c r="B8" s="4" t="n">
        <v>9.99</v>
      </c>
      <c r="C8" s="5" t="n">
        <f aca="false">IF(AND(ISNUMBER($B8),ISNUMBER($B7)),ABS($B8-$B7),"")</f>
        <v>0.0120000000000005</v>
      </c>
      <c r="D8" s="5" t="n">
        <f aca="false">IF(ISNUMBER($B8),$J$4,"")</f>
        <v>10.00905</v>
      </c>
      <c r="E8" s="5" t="n">
        <f aca="false">IF(ISNUMBER($B8),$J$7,"")</f>
        <v>10.0952762038074</v>
      </c>
      <c r="F8" s="5" t="n">
        <f aca="false">IF(ISNUMBER($B8),$J$8,"")</f>
        <v>9.92282379619261</v>
      </c>
      <c r="G8" s="5" t="str">
        <f aca="false">IF(ISNUMBER($B8),IF(OR($B8&gt;$J$7,$B8&lt;$J$8),"WE1",""),"")</f>
        <v/>
      </c>
      <c r="I8" s="7" t="s">
        <v>160</v>
      </c>
      <c r="J8" s="5" t="n">
        <f aca="false">IF(OR($J$4="",$J$6=""),"",$J$4-3*$J$6)</f>
        <v>9.92282379619261</v>
      </c>
    </row>
    <row r="9" customFormat="false" ht="15" hidden="false" customHeight="false" outlineLevel="0" collapsed="false">
      <c r="A9" s="4" t="s">
        <v>130</v>
      </c>
      <c r="B9" s="4" t="n">
        <v>9.977</v>
      </c>
      <c r="C9" s="5" t="n">
        <f aca="false">IF(AND(ISNUMBER($B9),ISNUMBER($B8)),ABS($B9-$B8),"")</f>
        <v>0.0129999999999999</v>
      </c>
      <c r="D9" s="5" t="n">
        <f aca="false">IF(ISNUMBER($B9),$J$4,"")</f>
        <v>10.00905</v>
      </c>
      <c r="E9" s="5" t="n">
        <f aca="false">IF(ISNUMBER($B9),$J$7,"")</f>
        <v>10.0952762038074</v>
      </c>
      <c r="F9" s="5" t="n">
        <f aca="false">IF(ISNUMBER($B9),$J$8,"")</f>
        <v>9.92282379619261</v>
      </c>
      <c r="G9" s="5" t="str">
        <f aca="false">IF(ISNUMBER($B9),IF(OR($B9&gt;$J$7,$B9&lt;$J$8),"WE1",""),"")</f>
        <v/>
      </c>
      <c r="I9" s="7" t="s">
        <v>161</v>
      </c>
      <c r="J9" s="5" t="n">
        <f aca="false">IF($J$5="","",3.267*$J$5)</f>
        <v>0.105919578947369</v>
      </c>
    </row>
    <row r="10" customFormat="false" ht="15" hidden="false" customHeight="false" outlineLevel="0" collapsed="false">
      <c r="A10" s="4" t="s">
        <v>131</v>
      </c>
      <c r="B10" s="4" t="n">
        <v>9.997</v>
      </c>
      <c r="C10" s="5" t="n">
        <f aca="false">IF(AND(ISNUMBER($B10),ISNUMBER($B9)),ABS($B10-$B9),"")</f>
        <v>0.0199999999999996</v>
      </c>
      <c r="D10" s="5" t="n">
        <f aca="false">IF(ISNUMBER($B10),$J$4,"")</f>
        <v>10.00905</v>
      </c>
      <c r="E10" s="5" t="n">
        <f aca="false">IF(ISNUMBER($B10),$J$7,"")</f>
        <v>10.0952762038074</v>
      </c>
      <c r="F10" s="5" t="n">
        <f aca="false">IF(ISNUMBER($B10),$J$8,"")</f>
        <v>9.92282379619261</v>
      </c>
      <c r="G10" s="5" t="str">
        <f aca="false">IF(ISNUMBER($B10),IF(OR($B10&gt;$J$7,$B10&lt;$J$8),"WE1",""),"")</f>
        <v/>
      </c>
    </row>
    <row r="11" customFormat="false" ht="15" hidden="false" customHeight="false" outlineLevel="0" collapsed="false">
      <c r="A11" s="4" t="s">
        <v>133</v>
      </c>
      <c r="B11" s="4" t="n">
        <v>10.028</v>
      </c>
      <c r="C11" s="5" t="n">
        <f aca="false">IF(AND(ISNUMBER($B11),ISNUMBER($B10)),ABS($B11-$B10),"")</f>
        <v>0.0310000000000006</v>
      </c>
      <c r="D11" s="5" t="n">
        <f aca="false">IF(ISNUMBER($B11),$J$4,"")</f>
        <v>10.00905</v>
      </c>
      <c r="E11" s="5" t="n">
        <f aca="false">IF(ISNUMBER($B11),$J$7,"")</f>
        <v>10.0952762038074</v>
      </c>
      <c r="F11" s="5" t="n">
        <f aca="false">IF(ISNUMBER($B11),$J$8,"")</f>
        <v>9.92282379619261</v>
      </c>
      <c r="G11" s="5" t="str">
        <f aca="false">IF(ISNUMBER($B11),IF(OR($B11&gt;$J$7,$B11&lt;$J$8),"WE1",""),"")</f>
        <v/>
      </c>
    </row>
    <row r="12" customFormat="false" ht="15" hidden="false" customHeight="false" outlineLevel="0" collapsed="false">
      <c r="A12" s="4" t="s">
        <v>134</v>
      </c>
      <c r="B12" s="4" t="n">
        <v>10.016</v>
      </c>
      <c r="C12" s="5" t="n">
        <f aca="false">IF(AND(ISNUMBER($B12),ISNUMBER($B11)),ABS($B12-$B11),"")</f>
        <v>0.0120000000000005</v>
      </c>
      <c r="D12" s="5" t="n">
        <f aca="false">IF(ISNUMBER($B12),$J$4,"")</f>
        <v>10.00905</v>
      </c>
      <c r="E12" s="5" t="n">
        <f aca="false">IF(ISNUMBER($B12),$J$7,"")</f>
        <v>10.0952762038074</v>
      </c>
      <c r="F12" s="5" t="n">
        <f aca="false">IF(ISNUMBER($B12),$J$8,"")</f>
        <v>9.92282379619261</v>
      </c>
      <c r="G12" s="5" t="str">
        <f aca="false">IF(ISNUMBER($B12),IF(OR($B12&gt;$J$7,$B12&lt;$J$8),"WE1",""),"")</f>
        <v/>
      </c>
    </row>
    <row r="13" customFormat="false" ht="15" hidden="false" customHeight="false" outlineLevel="0" collapsed="false">
      <c r="A13" s="4" t="s">
        <v>135</v>
      </c>
      <c r="B13" s="4" t="n">
        <v>10.014</v>
      </c>
      <c r="C13" s="5" t="n">
        <f aca="false">IF(AND(ISNUMBER($B13),ISNUMBER($B12)),ABS($B13-$B12),"")</f>
        <v>0.00200000000000067</v>
      </c>
      <c r="D13" s="5" t="n">
        <f aca="false">IF(ISNUMBER($B13),$J$4,"")</f>
        <v>10.00905</v>
      </c>
      <c r="E13" s="5" t="n">
        <f aca="false">IF(ISNUMBER($B13),$J$7,"")</f>
        <v>10.0952762038074</v>
      </c>
      <c r="F13" s="5" t="n">
        <f aca="false">IF(ISNUMBER($B13),$J$8,"")</f>
        <v>9.92282379619261</v>
      </c>
      <c r="G13" s="5" t="str">
        <f aca="false">IF(ISNUMBER($B13),IF(OR($B13&gt;$J$7,$B13&lt;$J$8),"WE1",""),"")</f>
        <v/>
      </c>
    </row>
    <row r="14" customFormat="false" ht="15" hidden="false" customHeight="false" outlineLevel="0" collapsed="false">
      <c r="A14" s="4" t="s">
        <v>137</v>
      </c>
      <c r="B14" s="4" t="n">
        <v>9.952</v>
      </c>
      <c r="C14" s="5" t="n">
        <f aca="false">IF(AND(ISNUMBER($B14),ISNUMBER($B13)),ABS($B14-$B13),"")</f>
        <v>0.0619999999999994</v>
      </c>
      <c r="D14" s="5" t="n">
        <f aca="false">IF(ISNUMBER($B14),$J$4,"")</f>
        <v>10.00905</v>
      </c>
      <c r="E14" s="5" t="n">
        <f aca="false">IF(ISNUMBER($B14),$J$7,"")</f>
        <v>10.0952762038074</v>
      </c>
      <c r="F14" s="5" t="n">
        <f aca="false">IF(ISNUMBER($B14),$J$8,"")</f>
        <v>9.92282379619261</v>
      </c>
      <c r="G14" s="5" t="str">
        <f aca="false">IF(ISNUMBER($B14),IF(OR($B14&gt;$J$7,$B14&lt;$J$8),"WE1",""),"")</f>
        <v/>
      </c>
    </row>
    <row r="15" customFormat="false" ht="15" hidden="false" customHeight="false" outlineLevel="0" collapsed="false">
      <c r="A15" s="4" t="s">
        <v>138</v>
      </c>
      <c r="B15" s="4" t="n">
        <v>10.014</v>
      </c>
      <c r="C15" s="5" t="n">
        <f aca="false">IF(AND(ISNUMBER($B15),ISNUMBER($B14)),ABS($B15-$B14),"")</f>
        <v>0.0619999999999994</v>
      </c>
      <c r="D15" s="5" t="n">
        <f aca="false">IF(ISNUMBER($B15),$J$4,"")</f>
        <v>10.00905</v>
      </c>
      <c r="E15" s="5" t="n">
        <f aca="false">IF(ISNUMBER($B15),$J$7,"")</f>
        <v>10.0952762038074</v>
      </c>
      <c r="F15" s="5" t="n">
        <f aca="false">IF(ISNUMBER($B15),$J$8,"")</f>
        <v>9.92282379619261</v>
      </c>
      <c r="G15" s="5" t="str">
        <f aca="false">IF(ISNUMBER($B15),IF(OR($B15&gt;$J$7,$B15&lt;$J$8),"WE1",""),"")</f>
        <v/>
      </c>
    </row>
    <row r="16" customFormat="false" ht="15" hidden="false" customHeight="false" outlineLevel="0" collapsed="false">
      <c r="A16" s="4" t="s">
        <v>139</v>
      </c>
      <c r="B16" s="4" t="n">
        <v>10.011</v>
      </c>
      <c r="C16" s="5" t="n">
        <f aca="false">IF(AND(ISNUMBER($B16),ISNUMBER($B15)),ABS($B16-$B15),"")</f>
        <v>0.00300000000000011</v>
      </c>
      <c r="D16" s="5" t="n">
        <f aca="false">IF(ISNUMBER($B16),$J$4,"")</f>
        <v>10.00905</v>
      </c>
      <c r="E16" s="5" t="n">
        <f aca="false">IF(ISNUMBER($B16),$J$7,"")</f>
        <v>10.0952762038074</v>
      </c>
      <c r="F16" s="5" t="n">
        <f aca="false">IF(ISNUMBER($B16),$J$8,"")</f>
        <v>9.92282379619261</v>
      </c>
      <c r="G16" s="5" t="str">
        <f aca="false">IF(ISNUMBER($B16),IF(OR($B16&gt;$J$7,$B16&lt;$J$8),"WE1",""),"")</f>
        <v/>
      </c>
    </row>
    <row r="17" customFormat="false" ht="15" hidden="false" customHeight="false" outlineLevel="0" collapsed="false">
      <c r="A17" s="4" t="s">
        <v>140</v>
      </c>
      <c r="B17" s="4" t="n">
        <v>9.989</v>
      </c>
      <c r="C17" s="5" t="n">
        <f aca="false">IF(AND(ISNUMBER($B17),ISNUMBER($B16)),ABS($B17-$B16),"")</f>
        <v>0.0219999999999985</v>
      </c>
      <c r="D17" s="5" t="n">
        <f aca="false">IF(ISNUMBER($B17),$J$4,"")</f>
        <v>10.00905</v>
      </c>
      <c r="E17" s="5" t="n">
        <f aca="false">IF(ISNUMBER($B17),$J$7,"")</f>
        <v>10.0952762038074</v>
      </c>
      <c r="F17" s="5" t="n">
        <f aca="false">IF(ISNUMBER($B17),$J$8,"")</f>
        <v>9.92282379619261</v>
      </c>
      <c r="G17" s="5" t="str">
        <f aca="false">IF(ISNUMBER($B17),IF(OR($B17&gt;$J$7,$B17&lt;$J$8),"WE1",""),"")</f>
        <v/>
      </c>
    </row>
    <row r="18" customFormat="false" ht="15" hidden="false" customHeight="false" outlineLevel="0" collapsed="false">
      <c r="A18" s="4" t="s">
        <v>141</v>
      </c>
      <c r="B18" s="4" t="n">
        <v>9.987</v>
      </c>
      <c r="C18" s="5" t="n">
        <f aca="false">IF(AND(ISNUMBER($B18),ISNUMBER($B17)),ABS($B18-$B17),"")</f>
        <v>0.00200000000000067</v>
      </c>
      <c r="D18" s="5" t="n">
        <f aca="false">IF(ISNUMBER($B18),$J$4,"")</f>
        <v>10.00905</v>
      </c>
      <c r="E18" s="5" t="n">
        <f aca="false">IF(ISNUMBER($B18),$J$7,"")</f>
        <v>10.0952762038074</v>
      </c>
      <c r="F18" s="5" t="n">
        <f aca="false">IF(ISNUMBER($B18),$J$8,"")</f>
        <v>9.92282379619261</v>
      </c>
      <c r="G18" s="5" t="str">
        <f aca="false">IF(ISNUMBER($B18),IF(OR($B18&gt;$J$7,$B18&lt;$J$8),"WE1",""),"")</f>
        <v/>
      </c>
    </row>
    <row r="19" customFormat="false" ht="15" hidden="false" customHeight="false" outlineLevel="0" collapsed="false">
      <c r="A19" s="4" t="s">
        <v>142</v>
      </c>
      <c r="B19" s="4" t="n">
        <v>10</v>
      </c>
      <c r="C19" s="5" t="n">
        <f aca="false">IF(AND(ISNUMBER($B19),ISNUMBER($B18)),ABS($B19-$B18),"")</f>
        <v>0.0129999999999999</v>
      </c>
      <c r="D19" s="5" t="n">
        <f aca="false">IF(ISNUMBER($B19),$J$4,"")</f>
        <v>10.00905</v>
      </c>
      <c r="E19" s="5" t="n">
        <f aca="false">IF(ISNUMBER($B19),$J$7,"")</f>
        <v>10.0952762038074</v>
      </c>
      <c r="F19" s="5" t="n">
        <f aca="false">IF(ISNUMBER($B19),$J$8,"")</f>
        <v>9.92282379619261</v>
      </c>
      <c r="G19" s="5" t="str">
        <f aca="false">IF(ISNUMBER($B19),IF(OR($B19&gt;$J$7,$B19&lt;$J$8),"WE1",""),"")</f>
        <v/>
      </c>
    </row>
    <row r="20" customFormat="false" ht="15" hidden="false" customHeight="false" outlineLevel="0" collapsed="false">
      <c r="A20" s="4" t="s">
        <v>143</v>
      </c>
      <c r="B20" s="4" t="n">
        <v>10.034</v>
      </c>
      <c r="C20" s="5" t="n">
        <f aca="false">IF(AND(ISNUMBER($B20),ISNUMBER($B19)),ABS($B20-$B19),"")</f>
        <v>0.0340000000000007</v>
      </c>
      <c r="D20" s="5" t="n">
        <f aca="false">IF(ISNUMBER($B20),$J$4,"")</f>
        <v>10.00905</v>
      </c>
      <c r="E20" s="5" t="n">
        <f aca="false">IF(ISNUMBER($B20),$J$7,"")</f>
        <v>10.0952762038074</v>
      </c>
      <c r="F20" s="5" t="n">
        <f aca="false">IF(ISNUMBER($B20),$J$8,"")</f>
        <v>9.92282379619261</v>
      </c>
      <c r="G20" s="5" t="str">
        <f aca="false">IF(ISNUMBER($B20),IF(OR($B20&gt;$J$7,$B20&lt;$J$8),"WE1",""),"")</f>
        <v/>
      </c>
    </row>
    <row r="21" customFormat="false" ht="15" hidden="false" customHeight="false" outlineLevel="0" collapsed="false">
      <c r="A21" s="4" t="s">
        <v>144</v>
      </c>
      <c r="B21" s="4" t="n">
        <v>9.979</v>
      </c>
      <c r="C21" s="5" t="n">
        <f aca="false">IF(AND(ISNUMBER($B21),ISNUMBER($B20)),ABS($B21-$B20),"")</f>
        <v>0.0550000000000015</v>
      </c>
      <c r="D21" s="5" t="n">
        <f aca="false">IF(ISNUMBER($B21),$J$4,"")</f>
        <v>10.00905</v>
      </c>
      <c r="E21" s="5" t="n">
        <f aca="false">IF(ISNUMBER($B21),$J$7,"")</f>
        <v>10.0952762038074</v>
      </c>
      <c r="F21" s="5" t="n">
        <f aca="false">IF(ISNUMBER($B21),$J$8,"")</f>
        <v>9.92282379619261</v>
      </c>
      <c r="G21" s="5" t="str">
        <f aca="false">IF(ISNUMBER($B21),IF(OR($B21&gt;$J$7,$B21&lt;$J$8),"WE1",""),"")</f>
        <v/>
      </c>
    </row>
    <row r="22" customFormat="false" ht="15" hidden="false" customHeight="false" outlineLevel="0" collapsed="false">
      <c r="A22" s="4" t="s">
        <v>145</v>
      </c>
      <c r="B22" s="4" t="n">
        <v>9.991</v>
      </c>
      <c r="C22" s="5" t="n">
        <f aca="false">IF(AND(ISNUMBER($B22),ISNUMBER($B21)),ABS($B22-$B21),"")</f>
        <v>0.0120000000000005</v>
      </c>
      <c r="D22" s="5" t="n">
        <f aca="false">IF(ISNUMBER($B22),$J$4,"")</f>
        <v>10.00905</v>
      </c>
      <c r="E22" s="5" t="n">
        <f aca="false">IF(ISNUMBER($B22),$J$7,"")</f>
        <v>10.0952762038074</v>
      </c>
      <c r="F22" s="5" t="n">
        <f aca="false">IF(ISNUMBER($B22),$J$8,"")</f>
        <v>9.92282379619261</v>
      </c>
      <c r="G22" s="5" t="str">
        <f aca="false">IF(ISNUMBER($B22),IF(OR($B22&gt;$J$7,$B22&lt;$J$8),"WE1",""),"")</f>
        <v/>
      </c>
    </row>
    <row r="23" customFormat="false" ht="15" hidden="false" customHeight="false" outlineLevel="0" collapsed="false">
      <c r="A23" s="4" t="s">
        <v>146</v>
      </c>
      <c r="B23" s="4" t="n">
        <v>10.027</v>
      </c>
      <c r="C23" s="5" t="n">
        <f aca="false">IF(AND(ISNUMBER($B23),ISNUMBER($B22)),ABS($B23-$B22),"")</f>
        <v>0.0359999999999996</v>
      </c>
      <c r="D23" s="5" t="n">
        <f aca="false">IF(ISNUMBER($B23),$J$4,"")</f>
        <v>10.00905</v>
      </c>
      <c r="E23" s="5" t="n">
        <f aca="false">IF(ISNUMBER($B23),$J$7,"")</f>
        <v>10.0952762038074</v>
      </c>
      <c r="F23" s="5" t="n">
        <f aca="false">IF(ISNUMBER($B23),$J$8,"")</f>
        <v>9.92282379619261</v>
      </c>
      <c r="G23" s="5" t="str">
        <f aca="false">IF(ISNUMBER($B23),IF(OR($B23&gt;$J$7,$B23&lt;$J$8),"WE1",""),"")</f>
        <v/>
      </c>
    </row>
    <row r="24" customFormat="false" ht="15" hidden="false" customHeight="false" outlineLevel="0" collapsed="false">
      <c r="A24" s="4" t="s">
        <v>147</v>
      </c>
      <c r="B24" s="4" t="n">
        <v>9.991</v>
      </c>
      <c r="C24" s="5" t="n">
        <f aca="false">IF(AND(ISNUMBER($B24),ISNUMBER($B23)),ABS($B24-$B23),"")</f>
        <v>0.0359999999999996</v>
      </c>
      <c r="D24" s="5" t="n">
        <f aca="false">IF(ISNUMBER($B24),$J$4,"")</f>
        <v>10.00905</v>
      </c>
      <c r="E24" s="5" t="n">
        <f aca="false">IF(ISNUMBER($B24),$J$7,"")</f>
        <v>10.0952762038074</v>
      </c>
      <c r="F24" s="5" t="n">
        <f aca="false">IF(ISNUMBER($B24),$J$8,"")</f>
        <v>9.92282379619261</v>
      </c>
      <c r="G24" s="5" t="str">
        <f aca="false">IF(ISNUMBER($B24),IF(OR($B24&gt;$J$7,$B24&lt;$J$8),"WE1",""),"")</f>
        <v/>
      </c>
    </row>
    <row r="25" customFormat="false" ht="15" hidden="false" customHeight="false" outlineLevel="0" collapsed="false">
      <c r="A25" s="4" t="s">
        <v>148</v>
      </c>
      <c r="B25" s="4" t="n">
        <v>10.15</v>
      </c>
      <c r="C25" s="5" t="n">
        <f aca="false">IF(AND(ISNUMBER($B25),ISNUMBER($B24)),ABS($B25-$B24),"")</f>
        <v>0.159000000000001</v>
      </c>
      <c r="D25" s="5" t="n">
        <f aca="false">IF(ISNUMBER($B25),$J$4,"")</f>
        <v>10.00905</v>
      </c>
      <c r="E25" s="5" t="n">
        <f aca="false">IF(ISNUMBER($B25),$J$7,"")</f>
        <v>10.0952762038074</v>
      </c>
      <c r="F25" s="5" t="n">
        <f aca="false">IF(ISNUMBER($B25),$J$8,"")</f>
        <v>9.92282379619261</v>
      </c>
      <c r="G25" s="5" t="str">
        <f aca="false">IF(ISNUMBER($B25),IF(OR($B25&gt;$J$7,$B25&lt;$J$8),"WE1",""),"")</f>
        <v>WE1</v>
      </c>
    </row>
    <row r="26" customFormat="false" ht="15" hidden="false" customHeight="false" outlineLevel="0" collapsed="false">
      <c r="A26" s="4"/>
      <c r="B26" s="4"/>
      <c r="C26" s="5" t="str">
        <f aca="false">IF(AND(ISNUMBER($B26),ISNUMBER($B25)),ABS($B26-$B25),"")</f>
        <v/>
      </c>
      <c r="D26" s="5" t="str">
        <f aca="false">IF(ISNUMBER($B26),$J$4,"")</f>
        <v/>
      </c>
      <c r="E26" s="5" t="str">
        <f aca="false">IF(ISNUMBER($B26),$J$7,"")</f>
        <v/>
      </c>
      <c r="F26" s="5" t="str">
        <f aca="false">IF(ISNUMBER($B26),$J$8,"")</f>
        <v/>
      </c>
      <c r="G26" s="5" t="str">
        <f aca="false">IF(ISNUMBER($B26),IF(OR($B26&gt;$J$7,$B26&lt;$J$8),"WE1",""),"")</f>
        <v/>
      </c>
    </row>
    <row r="27" customFormat="false" ht="15" hidden="false" customHeight="false" outlineLevel="0" collapsed="false">
      <c r="A27" s="4"/>
      <c r="B27" s="4"/>
      <c r="C27" s="5" t="str">
        <f aca="false">IF(AND(ISNUMBER($B27),ISNUMBER($B26)),ABS($B27-$B26),"")</f>
        <v/>
      </c>
      <c r="D27" s="5" t="str">
        <f aca="false">IF(ISNUMBER($B27),$J$4,"")</f>
        <v/>
      </c>
      <c r="E27" s="5" t="str">
        <f aca="false">IF(ISNUMBER($B27),$J$7,"")</f>
        <v/>
      </c>
      <c r="F27" s="5" t="str">
        <f aca="false">IF(ISNUMBER($B27),$J$8,"")</f>
        <v/>
      </c>
      <c r="G27" s="5" t="str">
        <f aca="false">IF(ISNUMBER($B27),IF(OR($B27&gt;$J$7,$B27&lt;$J$8),"WE1",""),"")</f>
        <v/>
      </c>
    </row>
    <row r="28" customFormat="false" ht="15" hidden="false" customHeight="false" outlineLevel="0" collapsed="false">
      <c r="A28" s="4"/>
      <c r="B28" s="4"/>
      <c r="C28" s="5" t="str">
        <f aca="false">IF(AND(ISNUMBER($B28),ISNUMBER($B27)),ABS($B28-$B27),"")</f>
        <v/>
      </c>
      <c r="D28" s="5" t="str">
        <f aca="false">IF(ISNUMBER($B28),$J$4,"")</f>
        <v/>
      </c>
      <c r="E28" s="5" t="str">
        <f aca="false">IF(ISNUMBER($B28),$J$7,"")</f>
        <v/>
      </c>
      <c r="F28" s="5" t="str">
        <f aca="false">IF(ISNUMBER($B28),$J$8,"")</f>
        <v/>
      </c>
      <c r="G28" s="5" t="str">
        <f aca="false">IF(ISNUMBER($B28),IF(OR($B28&gt;$J$7,$B28&lt;$J$8),"WE1",""),"")</f>
        <v/>
      </c>
    </row>
    <row r="29" customFormat="false" ht="15" hidden="false" customHeight="false" outlineLevel="0" collapsed="false">
      <c r="A29" s="4"/>
      <c r="B29" s="4"/>
      <c r="C29" s="5" t="str">
        <f aca="false">IF(AND(ISNUMBER($B29),ISNUMBER($B28)),ABS($B29-$B28),"")</f>
        <v/>
      </c>
      <c r="D29" s="5" t="str">
        <f aca="false">IF(ISNUMBER($B29),$J$4,"")</f>
        <v/>
      </c>
      <c r="E29" s="5" t="str">
        <f aca="false">IF(ISNUMBER($B29),$J$7,"")</f>
        <v/>
      </c>
      <c r="F29" s="5" t="str">
        <f aca="false">IF(ISNUMBER($B29),$J$8,"")</f>
        <v/>
      </c>
      <c r="G29" s="5" t="str">
        <f aca="false">IF(ISNUMBER($B29),IF(OR($B29&gt;$J$7,$B29&lt;$J$8),"WE1",""),"")</f>
        <v/>
      </c>
    </row>
    <row r="30" customFormat="false" ht="15" hidden="false" customHeight="false" outlineLevel="0" collapsed="false">
      <c r="A30" s="4"/>
      <c r="B30" s="4"/>
      <c r="C30" s="5" t="str">
        <f aca="false">IF(AND(ISNUMBER($B30),ISNUMBER($B29)),ABS($B30-$B29),"")</f>
        <v/>
      </c>
      <c r="D30" s="5" t="str">
        <f aca="false">IF(ISNUMBER($B30),$J$4,"")</f>
        <v/>
      </c>
      <c r="E30" s="5" t="str">
        <f aca="false">IF(ISNUMBER($B30),$J$7,"")</f>
        <v/>
      </c>
      <c r="F30" s="5" t="str">
        <f aca="false">IF(ISNUMBER($B30),$J$8,"")</f>
        <v/>
      </c>
      <c r="G30" s="5" t="str">
        <f aca="false">IF(ISNUMBER($B30),IF(OR($B30&gt;$J$7,$B30&lt;$J$8),"WE1",""),"")</f>
        <v/>
      </c>
    </row>
    <row r="31" customFormat="false" ht="15" hidden="false" customHeight="false" outlineLevel="0" collapsed="false">
      <c r="A31" s="4"/>
      <c r="B31" s="4"/>
      <c r="C31" s="5" t="str">
        <f aca="false">IF(AND(ISNUMBER($B31),ISNUMBER($B30)),ABS($B31-$B30),"")</f>
        <v/>
      </c>
      <c r="D31" s="5" t="str">
        <f aca="false">IF(ISNUMBER($B31),$J$4,"")</f>
        <v/>
      </c>
      <c r="E31" s="5" t="str">
        <f aca="false">IF(ISNUMBER($B31),$J$7,"")</f>
        <v/>
      </c>
      <c r="F31" s="5" t="str">
        <f aca="false">IF(ISNUMBER($B31),$J$8,"")</f>
        <v/>
      </c>
      <c r="G31" s="5" t="str">
        <f aca="false">IF(ISNUMBER($B31),IF(OR($B31&gt;$J$7,$B31&lt;$J$8),"WE1",""),"")</f>
        <v/>
      </c>
    </row>
    <row r="32" customFormat="false" ht="15" hidden="false" customHeight="false" outlineLevel="0" collapsed="false">
      <c r="A32" s="4"/>
      <c r="B32" s="4"/>
      <c r="C32" s="5" t="str">
        <f aca="false">IF(AND(ISNUMBER($B32),ISNUMBER($B31)),ABS($B32-$B31),"")</f>
        <v/>
      </c>
      <c r="D32" s="5" t="str">
        <f aca="false">IF(ISNUMBER($B32),$J$4,"")</f>
        <v/>
      </c>
      <c r="E32" s="5" t="str">
        <f aca="false">IF(ISNUMBER($B32),$J$7,"")</f>
        <v/>
      </c>
      <c r="F32" s="5" t="str">
        <f aca="false">IF(ISNUMBER($B32),$J$8,"")</f>
        <v/>
      </c>
      <c r="G32" s="5" t="str">
        <f aca="false">IF(ISNUMBER($B32),IF(OR($B32&gt;$J$7,$B32&lt;$J$8),"WE1",""),"")</f>
        <v/>
      </c>
    </row>
    <row r="33" customFormat="false" ht="15" hidden="false" customHeight="false" outlineLevel="0" collapsed="false">
      <c r="A33" s="4"/>
      <c r="B33" s="4"/>
      <c r="C33" s="5" t="str">
        <f aca="false">IF(AND(ISNUMBER($B33),ISNUMBER($B32)),ABS($B33-$B32),"")</f>
        <v/>
      </c>
      <c r="D33" s="5" t="str">
        <f aca="false">IF(ISNUMBER($B33),$J$4,"")</f>
        <v/>
      </c>
      <c r="E33" s="5" t="str">
        <f aca="false">IF(ISNUMBER($B33),$J$7,"")</f>
        <v/>
      </c>
      <c r="F33" s="5" t="str">
        <f aca="false">IF(ISNUMBER($B33),$J$8,"")</f>
        <v/>
      </c>
      <c r="G33" s="5" t="str">
        <f aca="false">IF(ISNUMBER($B33),IF(OR($B33&gt;$J$7,$B33&lt;$J$8),"WE1",""),"")</f>
        <v/>
      </c>
    </row>
    <row r="34" customFormat="false" ht="15" hidden="false" customHeight="false" outlineLevel="0" collapsed="false">
      <c r="A34" s="4"/>
      <c r="B34" s="4"/>
      <c r="C34" s="5" t="str">
        <f aca="false">IF(AND(ISNUMBER($B34),ISNUMBER($B33)),ABS($B34-$B33),"")</f>
        <v/>
      </c>
      <c r="D34" s="5" t="str">
        <f aca="false">IF(ISNUMBER($B34),$J$4,"")</f>
        <v/>
      </c>
      <c r="E34" s="5" t="str">
        <f aca="false">IF(ISNUMBER($B34),$J$7,"")</f>
        <v/>
      </c>
      <c r="F34" s="5" t="str">
        <f aca="false">IF(ISNUMBER($B34),$J$8,"")</f>
        <v/>
      </c>
      <c r="G34" s="5" t="str">
        <f aca="false">IF(ISNUMBER($B34),IF(OR($B34&gt;$J$7,$B34&lt;$J$8),"WE1",""),"")</f>
        <v/>
      </c>
    </row>
    <row r="35" customFormat="false" ht="15" hidden="false" customHeight="false" outlineLevel="0" collapsed="false">
      <c r="A35" s="4"/>
      <c r="B35" s="4"/>
      <c r="C35" s="5" t="str">
        <f aca="false">IF(AND(ISNUMBER($B35),ISNUMBER($B34)),ABS($B35-$B34),"")</f>
        <v/>
      </c>
      <c r="D35" s="5" t="str">
        <f aca="false">IF(ISNUMBER($B35),$J$4,"")</f>
        <v/>
      </c>
      <c r="E35" s="5" t="str">
        <f aca="false">IF(ISNUMBER($B35),$J$7,"")</f>
        <v/>
      </c>
      <c r="F35" s="5" t="str">
        <f aca="false">IF(ISNUMBER($B35),$J$8,"")</f>
        <v/>
      </c>
      <c r="G35" s="5" t="str">
        <f aca="false">IF(ISNUMBER($B35),IF(OR($B35&gt;$J$7,$B35&lt;$J$8),"WE1",""),"")</f>
        <v/>
      </c>
    </row>
    <row r="37" customFormat="false" ht="15" hidden="false" customHeight="false" outlineLevel="0" collapsed="false">
      <c r="A37" s="10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163</v>
      </c>
    </row>
    <row r="3" customFormat="false" ht="15" hidden="false" customHeight="false" outlineLevel="0" collapsed="false">
      <c r="A3" s="8" t="s">
        <v>164</v>
      </c>
    </row>
    <row r="4" customFormat="false" ht="15" hidden="false" customHeight="false" outlineLevel="0" collapsed="false">
      <c r="A4" s="9" t="s">
        <v>165</v>
      </c>
      <c r="B4" s="4" t="n">
        <v>9.94</v>
      </c>
    </row>
    <row r="5" customFormat="false" ht="15" hidden="false" customHeight="false" outlineLevel="0" collapsed="false">
      <c r="A5" s="9" t="s">
        <v>166</v>
      </c>
      <c r="B5" s="4" t="n">
        <v>10.06</v>
      </c>
    </row>
    <row r="7" customFormat="false" ht="15" hidden="false" customHeight="false" outlineLevel="0" collapsed="false">
      <c r="A7" s="8" t="s">
        <v>167</v>
      </c>
    </row>
    <row r="8" customFormat="false" ht="15" hidden="false" customHeight="false" outlineLevel="0" collapsed="false">
      <c r="A8" s="9" t="s">
        <v>168</v>
      </c>
      <c r="B8" s="15" t="n">
        <f aca="false">'SPC X-bar R'!$S$3</f>
        <v>10.00309</v>
      </c>
    </row>
    <row r="9" customFormat="false" ht="15" hidden="false" customHeight="false" outlineLevel="0" collapsed="false">
      <c r="A9" s="9" t="s">
        <v>132</v>
      </c>
      <c r="B9" s="15" t="n">
        <f aca="false">'SPC X-bar R'!$S$13</f>
        <v>0.00887790197764388</v>
      </c>
    </row>
    <row r="10" customFormat="false" ht="15" hidden="false" customHeight="false" outlineLevel="0" collapsed="false">
      <c r="A10" s="9" t="s">
        <v>169</v>
      </c>
      <c r="B10" s="15" t="n">
        <f aca="false">IF(COUNT('SPC X-bar R'!$C$9:$G$38)&lt;2,"",STDEV('SPC X-bar R'!$C$9:$G$38))</f>
        <v>0.014739553739664</v>
      </c>
    </row>
    <row r="11" customFormat="false" ht="15" hidden="false" customHeight="false" outlineLevel="0" collapsed="false">
      <c r="A11" s="9" t="s">
        <v>170</v>
      </c>
      <c r="B11" s="15" t="n">
        <f aca="false">Setup!$B$12</f>
        <v>1.33</v>
      </c>
    </row>
    <row r="13" customFormat="false" ht="15" hidden="false" customHeight="false" outlineLevel="0" collapsed="false">
      <c r="A13" s="8" t="s">
        <v>171</v>
      </c>
    </row>
    <row r="14" customFormat="false" ht="15" hidden="false" customHeight="false" outlineLevel="0" collapsed="false">
      <c r="A14" s="9" t="s">
        <v>172</v>
      </c>
      <c r="B14" s="16" t="n">
        <f aca="false">IF(OR($B$4="",$B$5="",$B$9="",$B$9=0),"",($B$5-$B$4)/(6*$B$9))</f>
        <v>2.25278450363202</v>
      </c>
    </row>
    <row r="15" customFormat="false" ht="15" hidden="false" customHeight="false" outlineLevel="0" collapsed="false">
      <c r="A15" s="9" t="s">
        <v>173</v>
      </c>
      <c r="B15" s="16" t="n">
        <f aca="false">IF(OR($B$4="",$B$5="",$B$8="",$B$9="",$B$9=0),"",MIN(($B$5-$B$8)/(3*$B$9),($B$8-$B$4)/(3*$B$9)))</f>
        <v>2.13676610169496</v>
      </c>
    </row>
    <row r="16" customFormat="false" ht="15" hidden="false" customHeight="false" outlineLevel="0" collapsed="false">
      <c r="A16" s="9" t="s">
        <v>174</v>
      </c>
      <c r="B16" s="16" t="n">
        <f aca="false">IF(OR($B$4="",$B$5="",$B$10="",$B$10=0),"",($B$5-$B$4)/(6*$B$10))</f>
        <v>1.3568931836912</v>
      </c>
    </row>
    <row r="17" customFormat="false" ht="15" hidden="false" customHeight="false" outlineLevel="0" collapsed="false">
      <c r="A17" s="9" t="s">
        <v>175</v>
      </c>
      <c r="B17" s="16" t="n">
        <f aca="false">IF(OR($B$4="",$B$5="",$B$8="",$B$10="",$B$10=0),"",MIN(($B$5-$B$8)/(3*$B$10),($B$8-$B$4)/(3*$B$10)))</f>
        <v>1.2870131847311</v>
      </c>
    </row>
    <row r="19" customFormat="false" ht="15" hidden="false" customHeight="false" outlineLevel="0" collapsed="false">
      <c r="A19" s="9" t="s">
        <v>176</v>
      </c>
      <c r="B19" s="5" t="str">
        <f aca="false">IF($B$15="","log SPC data first",IF($B$15&gt;=$B$11,"CAPABLE vs threshold","NOT CAPABLE - below threshold"))</f>
        <v>CAPABLE vs threshold</v>
      </c>
    </row>
    <row r="21" customFormat="false" ht="15" hidden="false" customHeight="false" outlineLevel="0" collapsed="false">
      <c r="A21" s="17" t="s">
        <v>177</v>
      </c>
      <c r="B21" s="17"/>
      <c r="C21" s="17"/>
      <c r="D21" s="17"/>
      <c r="E21" s="17"/>
      <c r="F21" s="17"/>
    </row>
    <row r="22" customFormat="false" ht="15" hidden="false" customHeight="false" outlineLevel="0" collapsed="false">
      <c r="A22" s="17"/>
      <c r="B22" s="17"/>
      <c r="C22" s="17"/>
      <c r="D22" s="17"/>
      <c r="E22" s="17"/>
      <c r="F22" s="17"/>
    </row>
  </sheetData>
  <mergeCells count="1">
    <mergeCell ref="A21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6" min="5" style="0" width="10"/>
    <col collapsed="false" customWidth="true" hidden="false" outlineLevel="0" max="8" min="7" style="0" width="11"/>
    <col collapsed="false" customWidth="true" hidden="false" outlineLevel="0" max="10" min="9" style="0" width="9"/>
    <col collapsed="false" customWidth="true" hidden="false" outlineLevel="0" max="12" min="11" style="0" width="8"/>
  </cols>
  <sheetData>
    <row r="1" customFormat="false" ht="17.35" hidden="false" customHeight="false" outlineLevel="0" collapsed="false">
      <c r="A1" s="1" t="s">
        <v>178</v>
      </c>
    </row>
    <row r="3" customFormat="false" ht="15" hidden="false" customHeight="false" outlineLevel="0" collapsed="false">
      <c r="A3" s="9" t="s">
        <v>179</v>
      </c>
      <c r="B3" s="18" t="n">
        <f aca="false">Setup!$B$13</f>
        <v>0.85</v>
      </c>
    </row>
    <row r="6" customFormat="false" ht="22.35" hidden="false" customHeight="false" outlineLevel="0" collapsed="false">
      <c r="A6" s="11" t="s">
        <v>111</v>
      </c>
      <c r="B6" s="11" t="s">
        <v>180</v>
      </c>
      <c r="C6" s="11" t="s">
        <v>181</v>
      </c>
      <c r="D6" s="11" t="s">
        <v>182</v>
      </c>
      <c r="E6" s="11" t="s">
        <v>183</v>
      </c>
      <c r="F6" s="11" t="s">
        <v>184</v>
      </c>
      <c r="G6" s="11" t="s">
        <v>185</v>
      </c>
      <c r="H6" s="11" t="s">
        <v>186</v>
      </c>
      <c r="I6" s="11" t="s">
        <v>187</v>
      </c>
      <c r="J6" s="11" t="s">
        <v>188</v>
      </c>
      <c r="K6" s="11" t="s">
        <v>189</v>
      </c>
      <c r="L6" s="11" t="s">
        <v>190</v>
      </c>
    </row>
    <row r="7" customFormat="false" ht="15" hidden="false" customHeight="false" outlineLevel="0" collapsed="false">
      <c r="A7" s="4" t="s">
        <v>127</v>
      </c>
      <c r="B7" s="4" t="n">
        <v>480</v>
      </c>
      <c r="C7" s="4" t="n">
        <v>450</v>
      </c>
      <c r="D7" s="4" t="n">
        <v>1</v>
      </c>
      <c r="E7" s="4" t="n">
        <v>430</v>
      </c>
      <c r="F7" s="4" t="n">
        <v>424</v>
      </c>
      <c r="G7" s="19" t="n">
        <f aca="false">IF(OR(NOT(ISNUMBER($B7)),NOT(ISNUMBER($C7)),$B7=0),"",$C7/$B7)</f>
        <v>0.9375</v>
      </c>
      <c r="H7" s="19" t="n">
        <f aca="false">IF(OR(NOT(ISNUMBER($C7)),NOT(ISNUMBER($D7)),NOT(ISNUMBER($E7)),$C7=0),"",$D7*$E7/$C7)</f>
        <v>0.955555555555556</v>
      </c>
      <c r="I7" s="19" t="n">
        <f aca="false">IF(OR(NOT(ISNUMBER($E7)),NOT(ISNUMBER($F7)),$E7=0),"",$F7/$E7)</f>
        <v>0.986046511627907</v>
      </c>
      <c r="J7" s="19" t="n">
        <f aca="false">IF(OR($G7="",$H7="",$I7=""),"",$G7*$H7*$I7)</f>
        <v>0.883333333333333</v>
      </c>
      <c r="K7" s="19" t="n">
        <f aca="false">IF(ISNUMBER($J7),$B$3,"")</f>
        <v>0.85</v>
      </c>
      <c r="L7" s="5" t="str">
        <f aca="false">IF(ISNUMBER($J7),IF($J7&lt;$B$3,"BELOW",""),"")</f>
        <v/>
      </c>
    </row>
    <row r="8" customFormat="false" ht="15" hidden="false" customHeight="false" outlineLevel="0" collapsed="false">
      <c r="A8" s="4" t="s">
        <v>128</v>
      </c>
      <c r="B8" s="4" t="n">
        <v>480</v>
      </c>
      <c r="C8" s="4" t="n">
        <v>450</v>
      </c>
      <c r="D8" s="4" t="n">
        <v>1</v>
      </c>
      <c r="E8" s="4" t="n">
        <v>430</v>
      </c>
      <c r="F8" s="4" t="n">
        <v>424</v>
      </c>
      <c r="G8" s="19" t="n">
        <f aca="false">IF(OR(NOT(ISNUMBER($B8)),NOT(ISNUMBER($C8)),$B8=0),"",$C8/$B8)</f>
        <v>0.9375</v>
      </c>
      <c r="H8" s="19" t="n">
        <f aca="false">IF(OR(NOT(ISNUMBER($C8)),NOT(ISNUMBER($D8)),NOT(ISNUMBER($E8)),$C8=0),"",$D8*$E8/$C8)</f>
        <v>0.955555555555556</v>
      </c>
      <c r="I8" s="19" t="n">
        <f aca="false">IF(OR(NOT(ISNUMBER($E8)),NOT(ISNUMBER($F8)),$E8=0),"",$F8/$E8)</f>
        <v>0.986046511627907</v>
      </c>
      <c r="J8" s="19" t="n">
        <f aca="false">IF(OR($G8="",$H8="",$I8=""),"",$G8*$H8*$I8)</f>
        <v>0.883333333333333</v>
      </c>
      <c r="K8" s="19" t="n">
        <f aca="false">IF(ISNUMBER($J8),$B$3,"")</f>
        <v>0.85</v>
      </c>
      <c r="L8" s="5" t="str">
        <f aca="false">IF(ISNUMBER($J8),IF($J8&lt;$B$3,"BELOW",""),"")</f>
        <v/>
      </c>
    </row>
    <row r="9" customFormat="false" ht="15" hidden="false" customHeight="false" outlineLevel="0" collapsed="false">
      <c r="A9" s="4" t="s">
        <v>129</v>
      </c>
      <c r="B9" s="4" t="n">
        <v>480</v>
      </c>
      <c r="C9" s="4" t="n">
        <v>450</v>
      </c>
      <c r="D9" s="4" t="n">
        <v>1</v>
      </c>
      <c r="E9" s="4" t="n">
        <v>430</v>
      </c>
      <c r="F9" s="4" t="n">
        <v>424</v>
      </c>
      <c r="G9" s="19" t="n">
        <f aca="false">IF(OR(NOT(ISNUMBER($B9)),NOT(ISNUMBER($C9)),$B9=0),"",$C9/$B9)</f>
        <v>0.9375</v>
      </c>
      <c r="H9" s="19" t="n">
        <f aca="false">IF(OR(NOT(ISNUMBER($C9)),NOT(ISNUMBER($D9)),NOT(ISNUMBER($E9)),$C9=0),"",$D9*$E9/$C9)</f>
        <v>0.955555555555556</v>
      </c>
      <c r="I9" s="19" t="n">
        <f aca="false">IF(OR(NOT(ISNUMBER($E9)),NOT(ISNUMBER($F9)),$E9=0),"",$F9/$E9)</f>
        <v>0.986046511627907</v>
      </c>
      <c r="J9" s="19" t="n">
        <f aca="false">IF(OR($G9="",$H9="",$I9=""),"",$G9*$H9*$I9)</f>
        <v>0.883333333333333</v>
      </c>
      <c r="K9" s="19" t="n">
        <f aca="false">IF(ISNUMBER($J9),$B$3,"")</f>
        <v>0.85</v>
      </c>
      <c r="L9" s="5" t="str">
        <f aca="false">IF(ISNUMBER($J9),IF($J9&lt;$B$3,"BELOW",""),"")</f>
        <v/>
      </c>
    </row>
    <row r="10" customFormat="false" ht="15" hidden="false" customHeight="false" outlineLevel="0" collapsed="false">
      <c r="A10" s="4" t="s">
        <v>130</v>
      </c>
      <c r="B10" s="4" t="n">
        <v>480</v>
      </c>
      <c r="C10" s="4" t="n">
        <v>450</v>
      </c>
      <c r="D10" s="4" t="n">
        <v>1</v>
      </c>
      <c r="E10" s="4" t="n">
        <v>430</v>
      </c>
      <c r="F10" s="4" t="n">
        <v>424</v>
      </c>
      <c r="G10" s="19" t="n">
        <f aca="false">IF(OR(NOT(ISNUMBER($B10)),NOT(ISNUMBER($C10)),$B10=0),"",$C10/$B10)</f>
        <v>0.9375</v>
      </c>
      <c r="H10" s="19" t="n">
        <f aca="false">IF(OR(NOT(ISNUMBER($C10)),NOT(ISNUMBER($D10)),NOT(ISNUMBER($E10)),$C10=0),"",$D10*$E10/$C10)</f>
        <v>0.955555555555556</v>
      </c>
      <c r="I10" s="19" t="n">
        <f aca="false">IF(OR(NOT(ISNUMBER($E10)),NOT(ISNUMBER($F10)),$E10=0),"",$F10/$E10)</f>
        <v>0.986046511627907</v>
      </c>
      <c r="J10" s="19" t="n">
        <f aca="false">IF(OR($G10="",$H10="",$I10=""),"",$G10*$H10*$I10)</f>
        <v>0.883333333333333</v>
      </c>
      <c r="K10" s="19" t="n">
        <f aca="false">IF(ISNUMBER($J10),$B$3,"")</f>
        <v>0.85</v>
      </c>
      <c r="L10" s="5" t="str">
        <f aca="false">IF(ISNUMBER($J10),IF($J10&lt;$B$3,"BELOW",""),"")</f>
        <v/>
      </c>
    </row>
    <row r="11" customFormat="false" ht="15" hidden="false" customHeight="false" outlineLevel="0" collapsed="false">
      <c r="A11" s="4" t="s">
        <v>131</v>
      </c>
      <c r="B11" s="4" t="n">
        <v>480</v>
      </c>
      <c r="C11" s="4" t="n">
        <v>450</v>
      </c>
      <c r="D11" s="4" t="n">
        <v>1</v>
      </c>
      <c r="E11" s="4" t="n">
        <v>430</v>
      </c>
      <c r="F11" s="4" t="n">
        <v>424</v>
      </c>
      <c r="G11" s="19" t="n">
        <f aca="false">IF(OR(NOT(ISNUMBER($B11)),NOT(ISNUMBER($C11)),$B11=0),"",$C11/$B11)</f>
        <v>0.9375</v>
      </c>
      <c r="H11" s="19" t="n">
        <f aca="false">IF(OR(NOT(ISNUMBER($C11)),NOT(ISNUMBER($D11)),NOT(ISNUMBER($E11)),$C11=0),"",$D11*$E11/$C11)</f>
        <v>0.955555555555556</v>
      </c>
      <c r="I11" s="19" t="n">
        <f aca="false">IF(OR(NOT(ISNUMBER($E11)),NOT(ISNUMBER($F11)),$E11=0),"",$F11/$E11)</f>
        <v>0.986046511627907</v>
      </c>
      <c r="J11" s="19" t="n">
        <f aca="false">IF(OR($G11="",$H11="",$I11=""),"",$G11*$H11*$I11)</f>
        <v>0.883333333333333</v>
      </c>
      <c r="K11" s="19" t="n">
        <f aca="false">IF(ISNUMBER($J11),$B$3,"")</f>
        <v>0.85</v>
      </c>
      <c r="L11" s="5" t="str">
        <f aca="false">IF(ISNUMBER($J11),IF($J11&lt;$B$3,"BELOW",""),"")</f>
        <v/>
      </c>
    </row>
    <row r="12" customFormat="false" ht="15" hidden="false" customHeight="false" outlineLevel="0" collapsed="false">
      <c r="A12" s="4" t="s">
        <v>133</v>
      </c>
      <c r="B12" s="4" t="n">
        <v>480</v>
      </c>
      <c r="C12" s="4" t="n">
        <v>450</v>
      </c>
      <c r="D12" s="4" t="n">
        <v>1</v>
      </c>
      <c r="E12" s="4" t="n">
        <v>430</v>
      </c>
      <c r="F12" s="4" t="n">
        <v>424</v>
      </c>
      <c r="G12" s="19" t="n">
        <f aca="false">IF(OR(NOT(ISNUMBER($B12)),NOT(ISNUMBER($C12)),$B12=0),"",$C12/$B12)</f>
        <v>0.9375</v>
      </c>
      <c r="H12" s="19" t="n">
        <f aca="false">IF(OR(NOT(ISNUMBER($C12)),NOT(ISNUMBER($D12)),NOT(ISNUMBER($E12)),$C12=0),"",$D12*$E12/$C12)</f>
        <v>0.955555555555556</v>
      </c>
      <c r="I12" s="19" t="n">
        <f aca="false">IF(OR(NOT(ISNUMBER($E12)),NOT(ISNUMBER($F12)),$E12=0),"",$F12/$E12)</f>
        <v>0.986046511627907</v>
      </c>
      <c r="J12" s="19" t="n">
        <f aca="false">IF(OR($G12="",$H12="",$I12=""),"",$G12*$H12*$I12)</f>
        <v>0.883333333333333</v>
      </c>
      <c r="K12" s="19" t="n">
        <f aca="false">IF(ISNUMBER($J12),$B$3,"")</f>
        <v>0.85</v>
      </c>
      <c r="L12" s="5" t="str">
        <f aca="false">IF(ISNUMBER($J12),IF($J12&lt;$B$3,"BELOW",""),"")</f>
        <v/>
      </c>
    </row>
    <row r="13" customFormat="false" ht="15" hidden="false" customHeight="false" outlineLevel="0" collapsed="false">
      <c r="A13" s="4" t="s">
        <v>134</v>
      </c>
      <c r="B13" s="4" t="n">
        <v>480</v>
      </c>
      <c r="C13" s="4" t="n">
        <v>450</v>
      </c>
      <c r="D13" s="4" t="n">
        <v>1</v>
      </c>
      <c r="E13" s="4" t="n">
        <v>430</v>
      </c>
      <c r="F13" s="4" t="n">
        <v>424</v>
      </c>
      <c r="G13" s="19" t="n">
        <f aca="false">IF(OR(NOT(ISNUMBER($B13)),NOT(ISNUMBER($C13)),$B13=0),"",$C13/$B13)</f>
        <v>0.9375</v>
      </c>
      <c r="H13" s="19" t="n">
        <f aca="false">IF(OR(NOT(ISNUMBER($C13)),NOT(ISNUMBER($D13)),NOT(ISNUMBER($E13)),$C13=0),"",$D13*$E13/$C13)</f>
        <v>0.955555555555556</v>
      </c>
      <c r="I13" s="19" t="n">
        <f aca="false">IF(OR(NOT(ISNUMBER($E13)),NOT(ISNUMBER($F13)),$E13=0),"",$F13/$E13)</f>
        <v>0.986046511627907</v>
      </c>
      <c r="J13" s="19" t="n">
        <f aca="false">IF(OR($G13="",$H13="",$I13=""),"",$G13*$H13*$I13)</f>
        <v>0.883333333333333</v>
      </c>
      <c r="K13" s="19" t="n">
        <f aca="false">IF(ISNUMBER($J13),$B$3,"")</f>
        <v>0.85</v>
      </c>
      <c r="L13" s="5" t="str">
        <f aca="false">IF(ISNUMBER($J13),IF($J13&lt;$B$3,"BELOW",""),"")</f>
        <v/>
      </c>
    </row>
    <row r="14" customFormat="false" ht="15" hidden="false" customHeight="false" outlineLevel="0" collapsed="false">
      <c r="A14" s="4" t="s">
        <v>135</v>
      </c>
      <c r="B14" s="4" t="n">
        <v>480</v>
      </c>
      <c r="C14" s="4" t="n">
        <v>450</v>
      </c>
      <c r="D14" s="4" t="n">
        <v>1</v>
      </c>
      <c r="E14" s="4" t="n">
        <v>430</v>
      </c>
      <c r="F14" s="4" t="n">
        <v>424</v>
      </c>
      <c r="G14" s="19" t="n">
        <f aca="false">IF(OR(NOT(ISNUMBER($B14)),NOT(ISNUMBER($C14)),$B14=0),"",$C14/$B14)</f>
        <v>0.9375</v>
      </c>
      <c r="H14" s="19" t="n">
        <f aca="false">IF(OR(NOT(ISNUMBER($C14)),NOT(ISNUMBER($D14)),NOT(ISNUMBER($E14)),$C14=0),"",$D14*$E14/$C14)</f>
        <v>0.955555555555556</v>
      </c>
      <c r="I14" s="19" t="n">
        <f aca="false">IF(OR(NOT(ISNUMBER($E14)),NOT(ISNUMBER($F14)),$E14=0),"",$F14/$E14)</f>
        <v>0.986046511627907</v>
      </c>
      <c r="J14" s="19" t="n">
        <f aca="false">IF(OR($G14="",$H14="",$I14=""),"",$G14*$H14*$I14)</f>
        <v>0.883333333333333</v>
      </c>
      <c r="K14" s="19" t="n">
        <f aca="false">IF(ISNUMBER($J14),$B$3,"")</f>
        <v>0.85</v>
      </c>
      <c r="L14" s="5" t="str">
        <f aca="false">IF(ISNUMBER($J14),IF($J14&lt;$B$3,"BELOW",""),"")</f>
        <v/>
      </c>
    </row>
    <row r="15" customFormat="false" ht="15" hidden="false" customHeight="false" outlineLevel="0" collapsed="false">
      <c r="A15" s="4" t="s">
        <v>137</v>
      </c>
      <c r="B15" s="4" t="n">
        <v>480</v>
      </c>
      <c r="C15" s="4" t="n">
        <v>450</v>
      </c>
      <c r="D15" s="4" t="n">
        <v>1</v>
      </c>
      <c r="E15" s="4" t="n">
        <v>430</v>
      </c>
      <c r="F15" s="4" t="n">
        <v>424</v>
      </c>
      <c r="G15" s="19" t="n">
        <f aca="false">IF(OR(NOT(ISNUMBER($B15)),NOT(ISNUMBER($C15)),$B15=0),"",$C15/$B15)</f>
        <v>0.9375</v>
      </c>
      <c r="H15" s="19" t="n">
        <f aca="false">IF(OR(NOT(ISNUMBER($C15)),NOT(ISNUMBER($D15)),NOT(ISNUMBER($E15)),$C15=0),"",$D15*$E15/$C15)</f>
        <v>0.955555555555556</v>
      </c>
      <c r="I15" s="19" t="n">
        <f aca="false">IF(OR(NOT(ISNUMBER($E15)),NOT(ISNUMBER($F15)),$E15=0),"",$F15/$E15)</f>
        <v>0.986046511627907</v>
      </c>
      <c r="J15" s="19" t="n">
        <f aca="false">IF(OR($G15="",$H15="",$I15=""),"",$G15*$H15*$I15)</f>
        <v>0.883333333333333</v>
      </c>
      <c r="K15" s="19" t="n">
        <f aca="false">IF(ISNUMBER($J15),$B$3,"")</f>
        <v>0.85</v>
      </c>
      <c r="L15" s="5" t="str">
        <f aca="false">IF(ISNUMBER($J15),IF($J15&lt;$B$3,"BELOW",""),"")</f>
        <v/>
      </c>
    </row>
    <row r="16" customFormat="false" ht="15" hidden="false" customHeight="false" outlineLevel="0" collapsed="false">
      <c r="A16" s="4" t="s">
        <v>138</v>
      </c>
      <c r="B16" s="4" t="n">
        <v>480</v>
      </c>
      <c r="C16" s="4" t="n">
        <v>380</v>
      </c>
      <c r="D16" s="4" t="n">
        <v>1</v>
      </c>
      <c r="E16" s="4" t="n">
        <v>330</v>
      </c>
      <c r="F16" s="4" t="n">
        <v>312</v>
      </c>
      <c r="G16" s="19" t="n">
        <f aca="false">IF(OR(NOT(ISNUMBER($B16)),NOT(ISNUMBER($C16)),$B16=0),"",$C16/$B16)</f>
        <v>0.791666666666667</v>
      </c>
      <c r="H16" s="19" t="n">
        <f aca="false">IF(OR(NOT(ISNUMBER($C16)),NOT(ISNUMBER($D16)),NOT(ISNUMBER($E16)),$C16=0),"",$D16*$E16/$C16)</f>
        <v>0.868421052631579</v>
      </c>
      <c r="I16" s="19" t="n">
        <f aca="false">IF(OR(NOT(ISNUMBER($E16)),NOT(ISNUMBER($F16)),$E16=0),"",$F16/$E16)</f>
        <v>0.945454545454545</v>
      </c>
      <c r="J16" s="19" t="n">
        <f aca="false">IF(OR($G16="",$H16="",$I16=""),"",$G16*$H16*$I16)</f>
        <v>0.65</v>
      </c>
      <c r="K16" s="19" t="n">
        <f aca="false">IF(ISNUMBER($J16),$B$3,"")</f>
        <v>0.85</v>
      </c>
      <c r="L16" s="5" t="str">
        <f aca="false">IF(ISNUMBER($J16),IF($J16&lt;$B$3,"BELOW",""),"")</f>
        <v>BELOW</v>
      </c>
    </row>
    <row r="17" customFormat="false" ht="15" hidden="false" customHeight="false" outlineLevel="0" collapsed="false">
      <c r="A17" s="4" t="s">
        <v>139</v>
      </c>
      <c r="B17" s="4" t="n">
        <v>480</v>
      </c>
      <c r="C17" s="4" t="n">
        <v>380</v>
      </c>
      <c r="D17" s="4" t="n">
        <v>1</v>
      </c>
      <c r="E17" s="4" t="n">
        <v>330</v>
      </c>
      <c r="F17" s="4" t="n">
        <v>312</v>
      </c>
      <c r="G17" s="19" t="n">
        <f aca="false">IF(OR(NOT(ISNUMBER($B17)),NOT(ISNUMBER($C17)),$B17=0),"",$C17/$B17)</f>
        <v>0.791666666666667</v>
      </c>
      <c r="H17" s="19" t="n">
        <f aca="false">IF(OR(NOT(ISNUMBER($C17)),NOT(ISNUMBER($D17)),NOT(ISNUMBER($E17)),$C17=0),"",$D17*$E17/$C17)</f>
        <v>0.868421052631579</v>
      </c>
      <c r="I17" s="19" t="n">
        <f aca="false">IF(OR(NOT(ISNUMBER($E17)),NOT(ISNUMBER($F17)),$E17=0),"",$F17/$E17)</f>
        <v>0.945454545454545</v>
      </c>
      <c r="J17" s="19" t="n">
        <f aca="false">IF(OR($G17="",$H17="",$I17=""),"",$G17*$H17*$I17)</f>
        <v>0.65</v>
      </c>
      <c r="K17" s="19" t="n">
        <f aca="false">IF(ISNUMBER($J17),$B$3,"")</f>
        <v>0.85</v>
      </c>
      <c r="L17" s="5" t="str">
        <f aca="false">IF(ISNUMBER($J17),IF($J17&lt;$B$3,"BELOW",""),"")</f>
        <v>BELOW</v>
      </c>
    </row>
    <row r="18" customFormat="false" ht="15" hidden="false" customHeight="false" outlineLevel="0" collapsed="false">
      <c r="A18" s="4" t="s">
        <v>140</v>
      </c>
      <c r="B18" s="4" t="n">
        <v>480</v>
      </c>
      <c r="C18" s="4" t="n">
        <v>380</v>
      </c>
      <c r="D18" s="4" t="n">
        <v>1</v>
      </c>
      <c r="E18" s="4" t="n">
        <v>330</v>
      </c>
      <c r="F18" s="4" t="n">
        <v>312</v>
      </c>
      <c r="G18" s="19" t="n">
        <f aca="false">IF(OR(NOT(ISNUMBER($B18)),NOT(ISNUMBER($C18)),$B18=0),"",$C18/$B18)</f>
        <v>0.791666666666667</v>
      </c>
      <c r="H18" s="19" t="n">
        <f aca="false">IF(OR(NOT(ISNUMBER($C18)),NOT(ISNUMBER($D18)),NOT(ISNUMBER($E18)),$C18=0),"",$D18*$E18/$C18)</f>
        <v>0.868421052631579</v>
      </c>
      <c r="I18" s="19" t="n">
        <f aca="false">IF(OR(NOT(ISNUMBER($E18)),NOT(ISNUMBER($F18)),$E18=0),"",$F18/$E18)</f>
        <v>0.945454545454545</v>
      </c>
      <c r="J18" s="19" t="n">
        <f aca="false">IF(OR($G18="",$H18="",$I18=""),"",$G18*$H18*$I18)</f>
        <v>0.65</v>
      </c>
      <c r="K18" s="19" t="n">
        <f aca="false">IF(ISNUMBER($J18),$B$3,"")</f>
        <v>0.85</v>
      </c>
      <c r="L18" s="5" t="str">
        <f aca="false">IF(ISNUMBER($J18),IF($J18&lt;$B$3,"BELOW",""),"")</f>
        <v>BELOW</v>
      </c>
    </row>
    <row r="19" customFormat="false" ht="15" hidden="false" customHeight="false" outlineLevel="0" collapsed="false">
      <c r="A19" s="4" t="s">
        <v>141</v>
      </c>
      <c r="B19" s="4" t="n">
        <v>480</v>
      </c>
      <c r="C19" s="4" t="n">
        <v>450</v>
      </c>
      <c r="D19" s="4" t="n">
        <v>1</v>
      </c>
      <c r="E19" s="4" t="n">
        <v>430</v>
      </c>
      <c r="F19" s="4" t="n">
        <v>424</v>
      </c>
      <c r="G19" s="19" t="n">
        <f aca="false">IF(OR(NOT(ISNUMBER($B19)),NOT(ISNUMBER($C19)),$B19=0),"",$C19/$B19)</f>
        <v>0.9375</v>
      </c>
      <c r="H19" s="19" t="n">
        <f aca="false">IF(OR(NOT(ISNUMBER($C19)),NOT(ISNUMBER($D19)),NOT(ISNUMBER($E19)),$C19=0),"",$D19*$E19/$C19)</f>
        <v>0.955555555555556</v>
      </c>
      <c r="I19" s="19" t="n">
        <f aca="false">IF(OR(NOT(ISNUMBER($E19)),NOT(ISNUMBER($F19)),$E19=0),"",$F19/$E19)</f>
        <v>0.986046511627907</v>
      </c>
      <c r="J19" s="19" t="n">
        <f aca="false">IF(OR($G19="",$H19="",$I19=""),"",$G19*$H19*$I19)</f>
        <v>0.883333333333333</v>
      </c>
      <c r="K19" s="19" t="n">
        <f aca="false">IF(ISNUMBER($J19),$B$3,"")</f>
        <v>0.85</v>
      </c>
      <c r="L19" s="5" t="str">
        <f aca="false">IF(ISNUMBER($J19),IF($J19&lt;$B$3,"BELOW",""),"")</f>
        <v/>
      </c>
    </row>
    <row r="20" customFormat="false" ht="15" hidden="false" customHeight="false" outlineLevel="0" collapsed="false">
      <c r="A20" s="4" t="s">
        <v>142</v>
      </c>
      <c r="B20" s="4" t="n">
        <v>480</v>
      </c>
      <c r="C20" s="4" t="n">
        <v>450</v>
      </c>
      <c r="D20" s="4" t="n">
        <v>1</v>
      </c>
      <c r="E20" s="4" t="n">
        <v>430</v>
      </c>
      <c r="F20" s="4" t="n">
        <v>424</v>
      </c>
      <c r="G20" s="19" t="n">
        <f aca="false">IF(OR(NOT(ISNUMBER($B20)),NOT(ISNUMBER($C20)),$B20=0),"",$C20/$B20)</f>
        <v>0.9375</v>
      </c>
      <c r="H20" s="19" t="n">
        <f aca="false">IF(OR(NOT(ISNUMBER($C20)),NOT(ISNUMBER($D20)),NOT(ISNUMBER($E20)),$C20=0),"",$D20*$E20/$C20)</f>
        <v>0.955555555555556</v>
      </c>
      <c r="I20" s="19" t="n">
        <f aca="false">IF(OR(NOT(ISNUMBER($E20)),NOT(ISNUMBER($F20)),$E20=0),"",$F20/$E20)</f>
        <v>0.986046511627907</v>
      </c>
      <c r="J20" s="19" t="n">
        <f aca="false">IF(OR($G20="",$H20="",$I20=""),"",$G20*$H20*$I20)</f>
        <v>0.883333333333333</v>
      </c>
      <c r="K20" s="19" t="n">
        <f aca="false">IF(ISNUMBER($J20),$B$3,"")</f>
        <v>0.85</v>
      </c>
      <c r="L20" s="5" t="str">
        <f aca="false">IF(ISNUMBER($J20),IF($J20&lt;$B$3,"BELOW",""),"")</f>
        <v/>
      </c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19" t="str">
        <f aca="false">IF(OR(NOT(ISNUMBER($B21)),NOT(ISNUMBER($C21)),$B21=0),"",$C21/$B21)</f>
        <v/>
      </c>
      <c r="H21" s="19" t="str">
        <f aca="false">IF(OR(NOT(ISNUMBER($C21)),NOT(ISNUMBER($D21)),NOT(ISNUMBER($E21)),$C21=0),"",$D21*$E21/$C21)</f>
        <v/>
      </c>
      <c r="I21" s="19" t="str">
        <f aca="false">IF(OR(NOT(ISNUMBER($E21)),NOT(ISNUMBER($F21)),$E21=0),"",$F21/$E21)</f>
        <v/>
      </c>
      <c r="J21" s="19" t="str">
        <f aca="false">IF(OR($G21="",$H21="",$I21=""),"",$G21*$H21*$I21)</f>
        <v/>
      </c>
      <c r="K21" s="19" t="str">
        <f aca="false">IF(ISNUMBER($J21),$B$3,"")</f>
        <v/>
      </c>
      <c r="L21" s="5" t="str">
        <f aca="false">IF(ISNUMBER($J21),IF($J21&lt;$B$3,"BELOW",""),"")</f>
        <v/>
      </c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19" t="str">
        <f aca="false">IF(OR(NOT(ISNUMBER($B22)),NOT(ISNUMBER($C22)),$B22=0),"",$C22/$B22)</f>
        <v/>
      </c>
      <c r="H22" s="19" t="str">
        <f aca="false">IF(OR(NOT(ISNUMBER($C22)),NOT(ISNUMBER($D22)),NOT(ISNUMBER($E22)),$C22=0),"",$D22*$E22/$C22)</f>
        <v/>
      </c>
      <c r="I22" s="19" t="str">
        <f aca="false">IF(OR(NOT(ISNUMBER($E22)),NOT(ISNUMBER($F22)),$E22=0),"",$F22/$E22)</f>
        <v/>
      </c>
      <c r="J22" s="19" t="str">
        <f aca="false">IF(OR($G22="",$H22="",$I22=""),"",$G22*$H22*$I22)</f>
        <v/>
      </c>
      <c r="K22" s="19" t="str">
        <f aca="false">IF(ISNUMBER($J22),$B$3,"")</f>
        <v/>
      </c>
      <c r="L22" s="5" t="str">
        <f aca="false">IF(ISNUMBER($J22),IF($J22&lt;$B$3,"BELOW",""),"")</f>
        <v/>
      </c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19" t="str">
        <f aca="false">IF(OR(NOT(ISNUMBER($B23)),NOT(ISNUMBER($C23)),$B23=0),"",$C23/$B23)</f>
        <v/>
      </c>
      <c r="H23" s="19" t="str">
        <f aca="false">IF(OR(NOT(ISNUMBER($C23)),NOT(ISNUMBER($D23)),NOT(ISNUMBER($E23)),$C23=0),"",$D23*$E23/$C23)</f>
        <v/>
      </c>
      <c r="I23" s="19" t="str">
        <f aca="false">IF(OR(NOT(ISNUMBER($E23)),NOT(ISNUMBER($F23)),$E23=0),"",$F23/$E23)</f>
        <v/>
      </c>
      <c r="J23" s="19" t="str">
        <f aca="false">IF(OR($G23="",$H23="",$I23=""),"",$G23*$H23*$I23)</f>
        <v/>
      </c>
      <c r="K23" s="19" t="str">
        <f aca="false">IF(ISNUMBER($J23),$B$3,"")</f>
        <v/>
      </c>
      <c r="L23" s="5" t="str">
        <f aca="false">IF(ISNUMBER($J23),IF($J23&lt;$B$3,"BELOW",""),"")</f>
        <v/>
      </c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19" t="str">
        <f aca="false">IF(OR(NOT(ISNUMBER($B24)),NOT(ISNUMBER($C24)),$B24=0),"",$C24/$B24)</f>
        <v/>
      </c>
      <c r="H24" s="19" t="str">
        <f aca="false">IF(OR(NOT(ISNUMBER($C24)),NOT(ISNUMBER($D24)),NOT(ISNUMBER($E24)),$C24=0),"",$D24*$E24/$C24)</f>
        <v/>
      </c>
      <c r="I24" s="19" t="str">
        <f aca="false">IF(OR(NOT(ISNUMBER($E24)),NOT(ISNUMBER($F24)),$E24=0),"",$F24/$E24)</f>
        <v/>
      </c>
      <c r="J24" s="19" t="str">
        <f aca="false">IF(OR($G24="",$H24="",$I24=""),"",$G24*$H24*$I24)</f>
        <v/>
      </c>
      <c r="K24" s="19" t="str">
        <f aca="false">IF(ISNUMBER($J24),$B$3,"")</f>
        <v/>
      </c>
      <c r="L24" s="5" t="str">
        <f aca="false">IF(ISNUMBER($J24),IF($J24&lt;$B$3,"BELOW",""),"")</f>
        <v/>
      </c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19" t="str">
        <f aca="false">IF(OR(NOT(ISNUMBER($B25)),NOT(ISNUMBER($C25)),$B25=0),"",$C25/$B25)</f>
        <v/>
      </c>
      <c r="H25" s="19" t="str">
        <f aca="false">IF(OR(NOT(ISNUMBER($C25)),NOT(ISNUMBER($D25)),NOT(ISNUMBER($E25)),$C25=0),"",$D25*$E25/$C25)</f>
        <v/>
      </c>
      <c r="I25" s="19" t="str">
        <f aca="false">IF(OR(NOT(ISNUMBER($E25)),NOT(ISNUMBER($F25)),$E25=0),"",$F25/$E25)</f>
        <v/>
      </c>
      <c r="J25" s="19" t="str">
        <f aca="false">IF(OR($G25="",$H25="",$I25=""),"",$G25*$H25*$I25)</f>
        <v/>
      </c>
      <c r="K25" s="19" t="str">
        <f aca="false">IF(ISNUMBER($J25),$B$3,"")</f>
        <v/>
      </c>
      <c r="L25" s="5" t="str">
        <f aca="false">IF(ISNUMBER($J25),IF($J25&lt;$B$3,"BELOW",""),"")</f>
        <v/>
      </c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19" t="str">
        <f aca="false">IF(OR(NOT(ISNUMBER($B26)),NOT(ISNUMBER($C26)),$B26=0),"",$C26/$B26)</f>
        <v/>
      </c>
      <c r="H26" s="19" t="str">
        <f aca="false">IF(OR(NOT(ISNUMBER($C26)),NOT(ISNUMBER($D26)),NOT(ISNUMBER($E26)),$C26=0),"",$D26*$E26/$C26)</f>
        <v/>
      </c>
      <c r="I26" s="19" t="str">
        <f aca="false">IF(OR(NOT(ISNUMBER($E26)),NOT(ISNUMBER($F26)),$E26=0),"",$F26/$E26)</f>
        <v/>
      </c>
      <c r="J26" s="19" t="str">
        <f aca="false">IF(OR($G26="",$H26="",$I26=""),"",$G26*$H26*$I26)</f>
        <v/>
      </c>
      <c r="K26" s="19" t="str">
        <f aca="false">IF(ISNUMBER($J26),$B$3,"")</f>
        <v/>
      </c>
      <c r="L26" s="5" t="str">
        <f aca="false">IF(ISNUMBER($J26),IF($J26&lt;$B$3,"BELOW",""),"")</f>
        <v/>
      </c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19" t="str">
        <f aca="false">IF(OR(NOT(ISNUMBER($B27)),NOT(ISNUMBER($C27)),$B27=0),"",$C27/$B27)</f>
        <v/>
      </c>
      <c r="H27" s="19" t="str">
        <f aca="false">IF(OR(NOT(ISNUMBER($C27)),NOT(ISNUMBER($D27)),NOT(ISNUMBER($E27)),$C27=0),"",$D27*$E27/$C27)</f>
        <v/>
      </c>
      <c r="I27" s="19" t="str">
        <f aca="false">IF(OR(NOT(ISNUMBER($E27)),NOT(ISNUMBER($F27)),$E27=0),"",$F27/$E27)</f>
        <v/>
      </c>
      <c r="J27" s="19" t="str">
        <f aca="false">IF(OR($G27="",$H27="",$I27=""),"",$G27*$H27*$I27)</f>
        <v/>
      </c>
      <c r="K27" s="19" t="str">
        <f aca="false">IF(ISNUMBER($J27),$B$3,"")</f>
        <v/>
      </c>
      <c r="L27" s="5" t="str">
        <f aca="false">IF(ISNUMBER($J27),IF($J27&lt;$B$3,"BELOW",""),"")</f>
        <v/>
      </c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19" t="str">
        <f aca="false">IF(OR(NOT(ISNUMBER($B28)),NOT(ISNUMBER($C28)),$B28=0),"",$C28/$B28)</f>
        <v/>
      </c>
      <c r="H28" s="19" t="str">
        <f aca="false">IF(OR(NOT(ISNUMBER($C28)),NOT(ISNUMBER($D28)),NOT(ISNUMBER($E28)),$C28=0),"",$D28*$E28/$C28)</f>
        <v/>
      </c>
      <c r="I28" s="19" t="str">
        <f aca="false">IF(OR(NOT(ISNUMBER($E28)),NOT(ISNUMBER($F28)),$E28=0),"",$F28/$E28)</f>
        <v/>
      </c>
      <c r="J28" s="19" t="str">
        <f aca="false">IF(OR($G28="",$H28="",$I28=""),"",$G28*$H28*$I28)</f>
        <v/>
      </c>
      <c r="K28" s="19" t="str">
        <f aca="false">IF(ISNUMBER($J28),$B$3,"")</f>
        <v/>
      </c>
      <c r="L28" s="5" t="str">
        <f aca="false">IF(ISNUMBER($J28),IF($J28&lt;$B$3,"BELOW",""),"")</f>
        <v/>
      </c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19" t="str">
        <f aca="false">IF(OR(NOT(ISNUMBER($B29)),NOT(ISNUMBER($C29)),$B29=0),"",$C29/$B29)</f>
        <v/>
      </c>
      <c r="H29" s="19" t="str">
        <f aca="false">IF(OR(NOT(ISNUMBER($C29)),NOT(ISNUMBER($D29)),NOT(ISNUMBER($E29)),$C29=0),"",$D29*$E29/$C29)</f>
        <v/>
      </c>
      <c r="I29" s="19" t="str">
        <f aca="false">IF(OR(NOT(ISNUMBER($E29)),NOT(ISNUMBER($F29)),$E29=0),"",$F29/$E29)</f>
        <v/>
      </c>
      <c r="J29" s="19" t="str">
        <f aca="false">IF(OR($G29="",$H29="",$I29=""),"",$G29*$H29*$I29)</f>
        <v/>
      </c>
      <c r="K29" s="19" t="str">
        <f aca="false">IF(ISNUMBER($J29),$B$3,"")</f>
        <v/>
      </c>
      <c r="L29" s="5" t="str">
        <f aca="false">IF(ISNUMBER($J29),IF($J29&lt;$B$3,"BELOW",""),"")</f>
        <v/>
      </c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19" t="str">
        <f aca="false">IF(OR(NOT(ISNUMBER($B30)),NOT(ISNUMBER($C30)),$B30=0),"",$C30/$B30)</f>
        <v/>
      </c>
      <c r="H30" s="19" t="str">
        <f aca="false">IF(OR(NOT(ISNUMBER($C30)),NOT(ISNUMBER($D30)),NOT(ISNUMBER($E30)),$C30=0),"",$D30*$E30/$C30)</f>
        <v/>
      </c>
      <c r="I30" s="19" t="str">
        <f aca="false">IF(OR(NOT(ISNUMBER($E30)),NOT(ISNUMBER($F30)),$E30=0),"",$F30/$E30)</f>
        <v/>
      </c>
      <c r="J30" s="19" t="str">
        <f aca="false">IF(OR($G30="",$H30="",$I30=""),"",$G30*$H30*$I30)</f>
        <v/>
      </c>
      <c r="K30" s="19" t="str">
        <f aca="false">IF(ISNUMBER($J30),$B$3,"")</f>
        <v/>
      </c>
      <c r="L30" s="5" t="str">
        <f aca="false">IF(ISNUMBER($J30),IF($J30&lt;$B$3,"BELOW",""),"")</f>
        <v/>
      </c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19" t="str">
        <f aca="false">IF(OR(NOT(ISNUMBER($B31)),NOT(ISNUMBER($C31)),$B31=0),"",$C31/$B31)</f>
        <v/>
      </c>
      <c r="H31" s="19" t="str">
        <f aca="false">IF(OR(NOT(ISNUMBER($C31)),NOT(ISNUMBER($D31)),NOT(ISNUMBER($E31)),$C31=0),"",$D31*$E31/$C31)</f>
        <v/>
      </c>
      <c r="I31" s="19" t="str">
        <f aca="false">IF(OR(NOT(ISNUMBER($E31)),NOT(ISNUMBER($F31)),$E31=0),"",$F31/$E31)</f>
        <v/>
      </c>
      <c r="J31" s="19" t="str">
        <f aca="false">IF(OR($G31="",$H31="",$I31=""),"",$G31*$H31*$I31)</f>
        <v/>
      </c>
      <c r="K31" s="19" t="str">
        <f aca="false">IF(ISNUMBER($J31),$B$3,"")</f>
        <v/>
      </c>
      <c r="L31" s="5" t="str">
        <f aca="false">IF(ISNUMBER($J31),IF($J31&lt;$B$3,"BELOW",""),"")</f>
        <v/>
      </c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19" t="str">
        <f aca="false">IF(OR(NOT(ISNUMBER($B32)),NOT(ISNUMBER($C32)),$B32=0),"",$C32/$B32)</f>
        <v/>
      </c>
      <c r="H32" s="19" t="str">
        <f aca="false">IF(OR(NOT(ISNUMBER($C32)),NOT(ISNUMBER($D32)),NOT(ISNUMBER($E32)),$C32=0),"",$D32*$E32/$C32)</f>
        <v/>
      </c>
      <c r="I32" s="19" t="str">
        <f aca="false">IF(OR(NOT(ISNUMBER($E32)),NOT(ISNUMBER($F32)),$E32=0),"",$F32/$E32)</f>
        <v/>
      </c>
      <c r="J32" s="19" t="str">
        <f aca="false">IF(OR($G32="",$H32="",$I32=""),"",$G32*$H32*$I32)</f>
        <v/>
      </c>
      <c r="K32" s="19" t="str">
        <f aca="false">IF(ISNUMBER($J32),$B$3,"")</f>
        <v/>
      </c>
      <c r="L32" s="5" t="str">
        <f aca="false">IF(ISNUMBER($J32),IF($J32&lt;$B$3,"BELOW",""),"")</f>
        <v/>
      </c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19" t="str">
        <f aca="false">IF(OR(NOT(ISNUMBER($B33)),NOT(ISNUMBER($C33)),$B33=0),"",$C33/$B33)</f>
        <v/>
      </c>
      <c r="H33" s="19" t="str">
        <f aca="false">IF(OR(NOT(ISNUMBER($C33)),NOT(ISNUMBER($D33)),NOT(ISNUMBER($E33)),$C33=0),"",$D33*$E33/$C33)</f>
        <v/>
      </c>
      <c r="I33" s="19" t="str">
        <f aca="false">IF(OR(NOT(ISNUMBER($E33)),NOT(ISNUMBER($F33)),$E33=0),"",$F33/$E33)</f>
        <v/>
      </c>
      <c r="J33" s="19" t="str">
        <f aca="false">IF(OR($G33="",$H33="",$I33=""),"",$G33*$H33*$I33)</f>
        <v/>
      </c>
      <c r="K33" s="19" t="str">
        <f aca="false">IF(ISNUMBER($J33),$B$3,"")</f>
        <v/>
      </c>
      <c r="L33" s="5" t="str">
        <f aca="false">IF(ISNUMBER($J33),IF($J33&lt;$B$3,"BELOW",""),"")</f>
        <v/>
      </c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19" t="str">
        <f aca="false">IF(OR(NOT(ISNUMBER($B34)),NOT(ISNUMBER($C34)),$B34=0),"",$C34/$B34)</f>
        <v/>
      </c>
      <c r="H34" s="19" t="str">
        <f aca="false">IF(OR(NOT(ISNUMBER($C34)),NOT(ISNUMBER($D34)),NOT(ISNUMBER($E34)),$C34=0),"",$D34*$E34/$C34)</f>
        <v/>
      </c>
      <c r="I34" s="19" t="str">
        <f aca="false">IF(OR(NOT(ISNUMBER($E34)),NOT(ISNUMBER($F34)),$E34=0),"",$F34/$E34)</f>
        <v/>
      </c>
      <c r="J34" s="19" t="str">
        <f aca="false">IF(OR($G34="",$H34="",$I34=""),"",$G34*$H34*$I34)</f>
        <v/>
      </c>
      <c r="K34" s="19" t="str">
        <f aca="false">IF(ISNUMBER($J34),$B$3,"")</f>
        <v/>
      </c>
      <c r="L34" s="5" t="str">
        <f aca="false">IF(ISNUMBER($J34),IF($J34&lt;$B$3,"BELOW",""),"")</f>
        <v/>
      </c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19" t="str">
        <f aca="false">IF(OR(NOT(ISNUMBER($B35)),NOT(ISNUMBER($C35)),$B35=0),"",$C35/$B35)</f>
        <v/>
      </c>
      <c r="H35" s="19" t="str">
        <f aca="false">IF(OR(NOT(ISNUMBER($C35)),NOT(ISNUMBER($D35)),NOT(ISNUMBER($E35)),$C35=0),"",$D35*$E35/$C35)</f>
        <v/>
      </c>
      <c r="I35" s="19" t="str">
        <f aca="false">IF(OR(NOT(ISNUMBER($E35)),NOT(ISNUMBER($F35)),$E35=0),"",$F35/$E35)</f>
        <v/>
      </c>
      <c r="J35" s="19" t="str">
        <f aca="false">IF(OR($G35="",$H35="",$I35=""),"",$G35*$H35*$I35)</f>
        <v/>
      </c>
      <c r="K35" s="19" t="str">
        <f aca="false">IF(ISNUMBER($J35),$B$3,"")</f>
        <v/>
      </c>
      <c r="L35" s="5" t="str">
        <f aca="false">IF(ISNUMBER($J35),IF($J35&lt;$B$3,"BELOW",""),"")</f>
        <v/>
      </c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19" t="str">
        <f aca="false">IF(OR(NOT(ISNUMBER($B36)),NOT(ISNUMBER($C36)),$B36=0),"",$C36/$B36)</f>
        <v/>
      </c>
      <c r="H36" s="19" t="str">
        <f aca="false">IF(OR(NOT(ISNUMBER($C36)),NOT(ISNUMBER($D36)),NOT(ISNUMBER($E36)),$C36=0),"",$D36*$E36/$C36)</f>
        <v/>
      </c>
      <c r="I36" s="19" t="str">
        <f aca="false">IF(OR(NOT(ISNUMBER($E36)),NOT(ISNUMBER($F36)),$E36=0),"",$F36/$E36)</f>
        <v/>
      </c>
      <c r="J36" s="19" t="str">
        <f aca="false">IF(OR($G36="",$H36="",$I36=""),"",$G36*$H36*$I36)</f>
        <v/>
      </c>
      <c r="K36" s="19" t="str">
        <f aca="false">IF(ISNUMBER($J36),$B$3,"")</f>
        <v/>
      </c>
      <c r="L36" s="5" t="str">
        <f aca="false">IF(ISNUMBER($J36),IF($J36&lt;$B$3,"BELOW",""),"")</f>
        <v/>
      </c>
    </row>
    <row r="38" customFormat="false" ht="15" hidden="false" customHeight="false" outlineLevel="0" collapsed="false">
      <c r="A38" s="10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2026-07-11T14:33:34Z</dcterms:created>
  <dc:creator>openpyxl</dc:creator>
  <dc:description/>
  <dc:language>en-US</dc:language>
  <cp:lastModifiedBy/>
  <dcterms:modified xsi:type="dcterms:W3CDTF">2026-07-11T14:33:38Z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